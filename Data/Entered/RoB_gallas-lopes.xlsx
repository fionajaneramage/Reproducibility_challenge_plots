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age/Documents/CAMARADES_postdoc/Research/Reproducbility_challenge_group_paper/Data/Entered/"/>
    </mc:Choice>
  </mc:AlternateContent>
  <xr:revisionPtr revIDLastSave="0" documentId="13_ncr:1_{B260FC27-C048-F347-84D2-F8D847FCDF64}" xr6:coauthVersionLast="47" xr6:coauthVersionMax="47" xr10:uidLastSave="{00000000-0000-0000-0000-000000000000}"/>
  <bookViews>
    <workbookView xWindow="33640" yWindow="3480" windowWidth="41420" windowHeight="26680" xr2:uid="{F42B6142-CA0C-0E46-9282-B3955EB87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Q28" i="1"/>
  <c r="P28" i="1"/>
  <c r="O28" i="1"/>
  <c r="N28" i="1"/>
  <c r="P27" i="1"/>
  <c r="O27" i="1"/>
  <c r="N27" i="1"/>
  <c r="W26" i="1"/>
  <c r="O26" i="1"/>
  <c r="N26" i="1"/>
  <c r="K28" i="1"/>
  <c r="J28" i="1"/>
  <c r="D28" i="1"/>
  <c r="C28" i="1"/>
  <c r="J27" i="1"/>
  <c r="I27" i="1"/>
  <c r="C27" i="1"/>
  <c r="E26" i="1"/>
  <c r="F26" i="1"/>
  <c r="W25" i="1"/>
  <c r="W28" i="1" s="1"/>
  <c r="V25" i="1"/>
  <c r="V28" i="1" s="1"/>
  <c r="U25" i="1"/>
  <c r="U28" i="1" s="1"/>
  <c r="T25" i="1"/>
  <c r="T28" i="1" s="1"/>
  <c r="S25" i="1"/>
  <c r="S28" i="1" s="1"/>
  <c r="R25" i="1"/>
  <c r="Q25" i="1"/>
  <c r="P25" i="1"/>
  <c r="O25" i="1"/>
  <c r="N25" i="1"/>
  <c r="W24" i="1"/>
  <c r="W27" i="1" s="1"/>
  <c r="V24" i="1"/>
  <c r="V27" i="1" s="1"/>
  <c r="U24" i="1"/>
  <c r="U27" i="1" s="1"/>
  <c r="T24" i="1"/>
  <c r="T27" i="1" s="1"/>
  <c r="S24" i="1"/>
  <c r="S27" i="1" s="1"/>
  <c r="R24" i="1"/>
  <c r="R27" i="1" s="1"/>
  <c r="Q24" i="1"/>
  <c r="Q27" i="1" s="1"/>
  <c r="P24" i="1"/>
  <c r="O24" i="1"/>
  <c r="N24" i="1"/>
  <c r="W23" i="1"/>
  <c r="V23" i="1"/>
  <c r="V26" i="1" s="1"/>
  <c r="U23" i="1"/>
  <c r="U26" i="1" s="1"/>
  <c r="T23" i="1"/>
  <c r="T26" i="1" s="1"/>
  <c r="S23" i="1"/>
  <c r="S26" i="1" s="1"/>
  <c r="R23" i="1"/>
  <c r="R26" i="1" s="1"/>
  <c r="Q23" i="1"/>
  <c r="Q26" i="1" s="1"/>
  <c r="P23" i="1"/>
  <c r="P26" i="1" s="1"/>
  <c r="O23" i="1"/>
  <c r="N23" i="1"/>
  <c r="C25" i="1"/>
  <c r="D25" i="1"/>
  <c r="E25" i="1"/>
  <c r="E28" i="1" s="1"/>
  <c r="F25" i="1"/>
  <c r="F28" i="1" s="1"/>
  <c r="G25" i="1"/>
  <c r="G28" i="1" s="1"/>
  <c r="H25" i="1"/>
  <c r="H28" i="1" s="1"/>
  <c r="I25" i="1"/>
  <c r="I28" i="1" s="1"/>
  <c r="J25" i="1"/>
  <c r="K25" i="1"/>
  <c r="C24" i="1"/>
  <c r="D24" i="1"/>
  <c r="D27" i="1" s="1"/>
  <c r="E24" i="1"/>
  <c r="E27" i="1" s="1"/>
  <c r="F24" i="1"/>
  <c r="F27" i="1" s="1"/>
  <c r="G24" i="1"/>
  <c r="G27" i="1" s="1"/>
  <c r="H24" i="1"/>
  <c r="H27" i="1" s="1"/>
  <c r="I24" i="1"/>
  <c r="J24" i="1"/>
  <c r="K24" i="1"/>
  <c r="K27" i="1" s="1"/>
  <c r="C23" i="1"/>
  <c r="C26" i="1" s="1"/>
  <c r="D23" i="1"/>
  <c r="D26" i="1" s="1"/>
  <c r="E23" i="1"/>
  <c r="F23" i="1"/>
  <c r="G23" i="1"/>
  <c r="G26" i="1" s="1"/>
  <c r="H23" i="1"/>
  <c r="H26" i="1" s="1"/>
  <c r="I23" i="1"/>
  <c r="I26" i="1" s="1"/>
  <c r="J23" i="1"/>
  <c r="J26" i="1" s="1"/>
  <c r="K23" i="1"/>
  <c r="K26" i="1" s="1"/>
  <c r="B25" i="1"/>
  <c r="B28" i="1" s="1"/>
  <c r="B23" i="1"/>
  <c r="B26" i="1" s="1"/>
  <c r="B24" i="1"/>
  <c r="B27" i="1" s="1"/>
</calcChain>
</file>

<file path=xl/sharedStrings.xml><?xml version="1.0" encoding="utf-8"?>
<sst xmlns="http://schemas.openxmlformats.org/spreadsheetml/2006/main" count="476" uniqueCount="41">
  <si>
    <t>Study</t>
  </si>
  <si>
    <t>1) Sequence generation</t>
  </si>
  <si>
    <t>2) Baseline characteristics</t>
  </si>
  <si>
    <t>3) Allocation concealment</t>
  </si>
  <si>
    <t>4) Random housing</t>
  </si>
  <si>
    <t>5) Blinding caregivers</t>
  </si>
  <si>
    <t>6) Random outcome assessment</t>
  </si>
  <si>
    <t>7) Blinding outcome assessment</t>
  </si>
  <si>
    <t>8) Incomplete outcome data</t>
  </si>
  <si>
    <t>9) Selective outcome reporting</t>
  </si>
  <si>
    <t>10) Other</t>
  </si>
  <si>
    <t>Amorim, 2017</t>
  </si>
  <si>
    <t>Unclear</t>
  </si>
  <si>
    <t>Low</t>
  </si>
  <si>
    <t>High</t>
  </si>
  <si>
    <t>Burke, 2014</t>
  </si>
  <si>
    <t>Chijiwa, 2015</t>
  </si>
  <si>
    <t>Deak, 2005</t>
  </si>
  <si>
    <t>Mahmoud, 2017</t>
  </si>
  <si>
    <t>Majidi, 2016</t>
  </si>
  <si>
    <t>McKim, 2016</t>
  </si>
  <si>
    <t>Molina-Hernández, 2008a</t>
  </si>
  <si>
    <t>Molina-Hernández, 2008b</t>
  </si>
  <si>
    <t>Nagpal, 2013</t>
  </si>
  <si>
    <t>Rinwa, 2013</t>
  </si>
  <si>
    <t>Saravi, 2016a</t>
  </si>
  <si>
    <t>Saravi, 2016b</t>
  </si>
  <si>
    <t>Singh, 2016</t>
  </si>
  <si>
    <t>Singh, 2017</t>
  </si>
  <si>
    <t>Tong, 2017</t>
  </si>
  <si>
    <t>Wang, 2017</t>
  </si>
  <si>
    <t>Xu, 2017</t>
  </si>
  <si>
    <t>Zheng, 2014</t>
  </si>
  <si>
    <t>Zheng, 2015</t>
  </si>
  <si>
    <t>Molina-Hernandez, 2008a</t>
  </si>
  <si>
    <t>Molina-Hernandez, 2008b</t>
  </si>
  <si>
    <t>Replication</t>
  </si>
  <si>
    <t>Original</t>
  </si>
  <si>
    <t>%Low</t>
  </si>
  <si>
    <t>%Unclear</t>
  </si>
  <si>
    <t>%High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</si>
</sst>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222222"/>
      <name val="-apple-system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D5D5D5"/>
      </left>
      <right style="thin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thin">
        <color rgb="FFD5D5D5"/>
      </right>
      <top style="thin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textRotation="45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4FEE-463C-1F43-B95F-32112B569AFC}">
  <dimension ref="A1:W28"/>
  <sheetViews>
    <sheetView tabSelected="1" workbookViewId="0">
      <selection activeCell="B2" sqref="B2:K2"/>
    </sheetView>
  </sheetViews>
  <sheetFormatPr baseColWidth="10" defaultRowHeight="16"/>
  <sheetData>
    <row r="1" spans="1:23">
      <c r="A1" t="s">
        <v>36</v>
      </c>
      <c r="M1" t="s">
        <v>37</v>
      </c>
    </row>
    <row r="2" spans="1:23" ht="67" customHeight="1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</row>
    <row r="3" spans="1:23" ht="35" thickBot="1">
      <c r="A3" s="2" t="s">
        <v>11</v>
      </c>
      <c r="B3" s="2" t="s">
        <v>12</v>
      </c>
      <c r="C3" s="2" t="s">
        <v>13</v>
      </c>
      <c r="D3" s="2" t="s">
        <v>12</v>
      </c>
      <c r="E3" s="2" t="s">
        <v>12</v>
      </c>
      <c r="F3" s="2" t="s">
        <v>13</v>
      </c>
      <c r="G3" s="2" t="s">
        <v>12</v>
      </c>
      <c r="H3" s="2" t="s">
        <v>13</v>
      </c>
      <c r="I3" s="2" t="s">
        <v>13</v>
      </c>
      <c r="J3" s="2" t="s">
        <v>13</v>
      </c>
      <c r="K3" s="2" t="s">
        <v>14</v>
      </c>
      <c r="M3" s="4" t="s">
        <v>11</v>
      </c>
      <c r="N3" s="5" t="s">
        <v>12</v>
      </c>
      <c r="O3" s="5" t="s">
        <v>13</v>
      </c>
      <c r="P3" s="5" t="s">
        <v>12</v>
      </c>
      <c r="Q3" s="5" t="s">
        <v>12</v>
      </c>
      <c r="R3" s="5" t="s">
        <v>12</v>
      </c>
      <c r="S3" s="5" t="s">
        <v>12</v>
      </c>
      <c r="T3" s="5" t="s">
        <v>12</v>
      </c>
      <c r="U3" s="5" t="s">
        <v>12</v>
      </c>
      <c r="V3" s="5" t="s">
        <v>13</v>
      </c>
      <c r="W3" s="5" t="s">
        <v>13</v>
      </c>
    </row>
    <row r="4" spans="1:23" ht="18" thickBot="1">
      <c r="A4" s="2" t="s">
        <v>15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13</v>
      </c>
      <c r="K4" s="2" t="s">
        <v>13</v>
      </c>
      <c r="M4" s="6" t="s">
        <v>15</v>
      </c>
      <c r="N4" s="7" t="s">
        <v>12</v>
      </c>
      <c r="O4" s="7" t="s">
        <v>12</v>
      </c>
      <c r="P4" s="5" t="s">
        <v>12</v>
      </c>
      <c r="Q4" s="5" t="s">
        <v>12</v>
      </c>
      <c r="R4" s="7" t="s">
        <v>12</v>
      </c>
      <c r="S4" s="5" t="s">
        <v>12</v>
      </c>
      <c r="T4" s="5" t="s">
        <v>12</v>
      </c>
      <c r="U4" s="7" t="s">
        <v>12</v>
      </c>
      <c r="V4" s="7" t="s">
        <v>13</v>
      </c>
      <c r="W4" s="7" t="s">
        <v>13</v>
      </c>
    </row>
    <row r="5" spans="1:23" ht="35" thickBot="1">
      <c r="A5" s="2" t="s">
        <v>16</v>
      </c>
      <c r="B5" s="2" t="s">
        <v>12</v>
      </c>
      <c r="C5" s="2" t="s">
        <v>13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13</v>
      </c>
      <c r="I5" s="2" t="s">
        <v>13</v>
      </c>
      <c r="J5" s="2" t="s">
        <v>13</v>
      </c>
      <c r="K5" s="2" t="s">
        <v>13</v>
      </c>
      <c r="M5" s="6" t="s">
        <v>16</v>
      </c>
      <c r="N5" s="7" t="s">
        <v>12</v>
      </c>
      <c r="O5" s="7" t="s">
        <v>12</v>
      </c>
      <c r="P5" s="5" t="s">
        <v>12</v>
      </c>
      <c r="Q5" s="5" t="s">
        <v>12</v>
      </c>
      <c r="R5" s="7" t="s">
        <v>12</v>
      </c>
      <c r="S5" s="5" t="s">
        <v>12</v>
      </c>
      <c r="T5" s="5" t="s">
        <v>12</v>
      </c>
      <c r="U5" s="7" t="s">
        <v>13</v>
      </c>
      <c r="V5" s="7" t="s">
        <v>13</v>
      </c>
      <c r="W5" s="7" t="s">
        <v>13</v>
      </c>
    </row>
    <row r="6" spans="1:23" ht="18" thickBot="1">
      <c r="A6" s="2" t="s">
        <v>17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13</v>
      </c>
      <c r="M6" s="6" t="s">
        <v>17</v>
      </c>
      <c r="N6" s="7" t="s">
        <v>12</v>
      </c>
      <c r="O6" s="7" t="s">
        <v>12</v>
      </c>
      <c r="P6" s="5" t="s">
        <v>12</v>
      </c>
      <c r="Q6" s="5" t="s">
        <v>12</v>
      </c>
      <c r="R6" s="7" t="s">
        <v>12</v>
      </c>
      <c r="S6" s="5" t="s">
        <v>12</v>
      </c>
      <c r="T6" s="5" t="s">
        <v>12</v>
      </c>
      <c r="U6" s="7" t="s">
        <v>13</v>
      </c>
      <c r="V6" s="7" t="s">
        <v>13</v>
      </c>
      <c r="W6" s="7" t="s">
        <v>13</v>
      </c>
    </row>
    <row r="7" spans="1:23" ht="35" thickBot="1">
      <c r="A7" s="2" t="s">
        <v>18</v>
      </c>
      <c r="B7" s="2" t="s">
        <v>12</v>
      </c>
      <c r="C7" s="2" t="s">
        <v>13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13</v>
      </c>
      <c r="K7" s="2" t="s">
        <v>12</v>
      </c>
      <c r="M7" s="6" t="s">
        <v>18</v>
      </c>
      <c r="N7" s="7" t="s">
        <v>12</v>
      </c>
      <c r="O7" s="7" t="s">
        <v>12</v>
      </c>
      <c r="P7" s="5" t="s">
        <v>12</v>
      </c>
      <c r="Q7" s="5" t="s">
        <v>12</v>
      </c>
      <c r="R7" s="7" t="s">
        <v>12</v>
      </c>
      <c r="S7" s="5" t="s">
        <v>12</v>
      </c>
      <c r="T7" s="5" t="s">
        <v>12</v>
      </c>
      <c r="U7" s="7" t="s">
        <v>12</v>
      </c>
      <c r="V7" s="7" t="s">
        <v>13</v>
      </c>
      <c r="W7" s="7" t="s">
        <v>13</v>
      </c>
    </row>
    <row r="8" spans="1:23" ht="35" thickBot="1">
      <c r="A8" s="2" t="s">
        <v>19</v>
      </c>
      <c r="B8" s="2" t="s">
        <v>12</v>
      </c>
      <c r="C8" s="2" t="s">
        <v>13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13</v>
      </c>
      <c r="I8" s="2" t="s">
        <v>13</v>
      </c>
      <c r="J8" s="2" t="s">
        <v>13</v>
      </c>
      <c r="K8" s="2" t="s">
        <v>12</v>
      </c>
      <c r="M8" s="6" t="s">
        <v>19</v>
      </c>
      <c r="N8" s="7" t="s">
        <v>12</v>
      </c>
      <c r="O8" s="7" t="s">
        <v>12</v>
      </c>
      <c r="P8" s="5" t="s">
        <v>12</v>
      </c>
      <c r="Q8" s="5" t="s">
        <v>12</v>
      </c>
      <c r="R8" s="7" t="s">
        <v>12</v>
      </c>
      <c r="S8" s="5" t="s">
        <v>12</v>
      </c>
      <c r="T8" s="5" t="s">
        <v>12</v>
      </c>
      <c r="U8" s="7" t="s">
        <v>12</v>
      </c>
      <c r="V8" s="7" t="s">
        <v>13</v>
      </c>
      <c r="W8" s="7" t="s">
        <v>14</v>
      </c>
    </row>
    <row r="9" spans="1:23" ht="35" thickBot="1">
      <c r="A9" s="2" t="s">
        <v>20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M9" s="6" t="s">
        <v>20</v>
      </c>
      <c r="N9" s="7" t="s">
        <v>12</v>
      </c>
      <c r="O9" s="7" t="s">
        <v>12</v>
      </c>
      <c r="P9" s="5" t="s">
        <v>12</v>
      </c>
      <c r="Q9" s="5" t="s">
        <v>12</v>
      </c>
      <c r="R9" s="7" t="s">
        <v>12</v>
      </c>
      <c r="S9" s="5" t="s">
        <v>12</v>
      </c>
      <c r="T9" s="5" t="s">
        <v>12</v>
      </c>
      <c r="U9" s="7" t="s">
        <v>13</v>
      </c>
      <c r="V9" s="7" t="s">
        <v>13</v>
      </c>
      <c r="W9" s="7" t="s">
        <v>14</v>
      </c>
    </row>
    <row r="10" spans="1:23" ht="52" thickBot="1">
      <c r="A10" s="2" t="s">
        <v>21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13</v>
      </c>
      <c r="I10" s="2" t="s">
        <v>14</v>
      </c>
      <c r="J10" s="2" t="s">
        <v>13</v>
      </c>
      <c r="K10" s="2" t="s">
        <v>13</v>
      </c>
      <c r="M10" s="6" t="s">
        <v>34</v>
      </c>
      <c r="N10" s="7" t="s">
        <v>12</v>
      </c>
      <c r="O10" s="7" t="s">
        <v>12</v>
      </c>
      <c r="P10" s="5" t="s">
        <v>12</v>
      </c>
      <c r="Q10" s="5" t="s">
        <v>12</v>
      </c>
      <c r="R10" s="7" t="s">
        <v>12</v>
      </c>
      <c r="S10" s="5" t="s">
        <v>12</v>
      </c>
      <c r="T10" s="5" t="s">
        <v>12</v>
      </c>
      <c r="U10" s="7" t="s">
        <v>13</v>
      </c>
      <c r="V10" s="7" t="s">
        <v>13</v>
      </c>
      <c r="W10" s="7" t="s">
        <v>13</v>
      </c>
    </row>
    <row r="11" spans="1:23" ht="52" thickBot="1">
      <c r="A11" s="2" t="s">
        <v>22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13</v>
      </c>
      <c r="I11" s="2" t="s">
        <v>12</v>
      </c>
      <c r="J11" s="2" t="s">
        <v>13</v>
      </c>
      <c r="K11" s="2" t="s">
        <v>13</v>
      </c>
      <c r="M11" s="6" t="s">
        <v>35</v>
      </c>
      <c r="N11" s="7" t="s">
        <v>12</v>
      </c>
      <c r="O11" s="7" t="s">
        <v>12</v>
      </c>
      <c r="P11" s="5" t="s">
        <v>12</v>
      </c>
      <c r="Q11" s="5" t="s">
        <v>12</v>
      </c>
      <c r="R11" s="7" t="s">
        <v>12</v>
      </c>
      <c r="S11" s="5" t="s">
        <v>12</v>
      </c>
      <c r="T11" s="5" t="s">
        <v>12</v>
      </c>
      <c r="U11" s="7" t="s">
        <v>13</v>
      </c>
      <c r="V11" s="7" t="s">
        <v>13</v>
      </c>
      <c r="W11" s="7" t="s">
        <v>13</v>
      </c>
    </row>
    <row r="12" spans="1:23" ht="35" thickBot="1">
      <c r="A12" s="2" t="s">
        <v>23</v>
      </c>
      <c r="B12" s="2" t="s">
        <v>12</v>
      </c>
      <c r="C12" s="2" t="s">
        <v>13</v>
      </c>
      <c r="D12" s="2" t="s">
        <v>12</v>
      </c>
      <c r="E12" s="2" t="s">
        <v>12</v>
      </c>
      <c r="F12" s="2" t="s">
        <v>14</v>
      </c>
      <c r="G12" s="2" t="s">
        <v>12</v>
      </c>
      <c r="H12" s="2" t="s">
        <v>12</v>
      </c>
      <c r="I12" s="2" t="s">
        <v>14</v>
      </c>
      <c r="J12" s="2" t="s">
        <v>13</v>
      </c>
      <c r="K12" s="2" t="s">
        <v>14</v>
      </c>
      <c r="M12" s="6" t="s">
        <v>23</v>
      </c>
      <c r="N12" s="7" t="s">
        <v>12</v>
      </c>
      <c r="O12" s="7" t="s">
        <v>12</v>
      </c>
      <c r="P12" s="5" t="s">
        <v>12</v>
      </c>
      <c r="Q12" s="5" t="s">
        <v>12</v>
      </c>
      <c r="R12" s="7" t="s">
        <v>12</v>
      </c>
      <c r="S12" s="5" t="s">
        <v>12</v>
      </c>
      <c r="T12" s="5" t="s">
        <v>12</v>
      </c>
      <c r="U12" s="7" t="s">
        <v>13</v>
      </c>
      <c r="V12" s="7" t="s">
        <v>13</v>
      </c>
      <c r="W12" s="7" t="s">
        <v>13</v>
      </c>
    </row>
    <row r="13" spans="1:23" ht="35" thickBot="1">
      <c r="A13" s="2" t="s">
        <v>24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14</v>
      </c>
      <c r="G13" s="2" t="s">
        <v>12</v>
      </c>
      <c r="H13" s="2" t="s">
        <v>13</v>
      </c>
      <c r="I13" s="2" t="s">
        <v>14</v>
      </c>
      <c r="J13" s="2" t="s">
        <v>13</v>
      </c>
      <c r="K13" s="2" t="s">
        <v>14</v>
      </c>
      <c r="M13" s="6" t="s">
        <v>24</v>
      </c>
      <c r="N13" s="7" t="s">
        <v>12</v>
      </c>
      <c r="O13" s="7" t="s">
        <v>12</v>
      </c>
      <c r="P13" s="5" t="s">
        <v>12</v>
      </c>
      <c r="Q13" s="5" t="s">
        <v>12</v>
      </c>
      <c r="R13" s="7" t="s">
        <v>12</v>
      </c>
      <c r="S13" s="5" t="s">
        <v>12</v>
      </c>
      <c r="T13" s="5" t="s">
        <v>12</v>
      </c>
      <c r="U13" s="7" t="s">
        <v>13</v>
      </c>
      <c r="V13" s="7" t="s">
        <v>13</v>
      </c>
      <c r="W13" s="8" t="s">
        <v>14</v>
      </c>
    </row>
    <row r="14" spans="1:23" ht="35" thickBot="1">
      <c r="A14" s="2" t="s">
        <v>25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13</v>
      </c>
      <c r="J14" s="2" t="s">
        <v>13</v>
      </c>
      <c r="K14" s="2" t="s">
        <v>12</v>
      </c>
      <c r="M14" s="6" t="s">
        <v>25</v>
      </c>
      <c r="N14" s="7" t="s">
        <v>12</v>
      </c>
      <c r="O14" s="7" t="s">
        <v>12</v>
      </c>
      <c r="P14" s="5" t="s">
        <v>12</v>
      </c>
      <c r="Q14" s="5" t="s">
        <v>12</v>
      </c>
      <c r="R14" s="7" t="s">
        <v>12</v>
      </c>
      <c r="S14" s="5" t="s">
        <v>12</v>
      </c>
      <c r="T14" s="5" t="s">
        <v>12</v>
      </c>
      <c r="U14" s="7" t="s">
        <v>13</v>
      </c>
      <c r="V14" s="7" t="s">
        <v>13</v>
      </c>
      <c r="W14" s="7" t="s">
        <v>13</v>
      </c>
    </row>
    <row r="15" spans="1:23" ht="30" thickBot="1">
      <c r="A15" s="3" t="s">
        <v>26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13</v>
      </c>
      <c r="I15" s="3" t="s">
        <v>14</v>
      </c>
      <c r="J15" s="3" t="s">
        <v>13</v>
      </c>
      <c r="K15" s="3" t="s">
        <v>12</v>
      </c>
      <c r="M15" s="6" t="s">
        <v>26</v>
      </c>
      <c r="N15" s="7" t="s">
        <v>12</v>
      </c>
      <c r="O15" s="7" t="s">
        <v>12</v>
      </c>
      <c r="P15" s="5" t="s">
        <v>12</v>
      </c>
      <c r="Q15" s="5" t="s">
        <v>12</v>
      </c>
      <c r="R15" s="7" t="s">
        <v>12</v>
      </c>
      <c r="S15" s="5" t="s">
        <v>12</v>
      </c>
      <c r="T15" s="5" t="s">
        <v>12</v>
      </c>
      <c r="U15" s="7" t="s">
        <v>12</v>
      </c>
      <c r="V15" s="7" t="s">
        <v>13</v>
      </c>
      <c r="W15" s="7" t="s">
        <v>13</v>
      </c>
    </row>
    <row r="16" spans="1:23" ht="18" thickBot="1">
      <c r="A16" s="2" t="s">
        <v>27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14</v>
      </c>
      <c r="G16" s="2" t="s">
        <v>12</v>
      </c>
      <c r="H16" s="2" t="s">
        <v>12</v>
      </c>
      <c r="I16" s="2" t="s">
        <v>13</v>
      </c>
      <c r="J16" s="2" t="s">
        <v>14</v>
      </c>
      <c r="K16" s="2" t="s">
        <v>14</v>
      </c>
      <c r="M16" s="6" t="s">
        <v>27</v>
      </c>
      <c r="N16" s="7" t="s">
        <v>12</v>
      </c>
      <c r="O16" s="7" t="s">
        <v>12</v>
      </c>
      <c r="P16" s="5" t="s">
        <v>12</v>
      </c>
      <c r="Q16" s="5" t="s">
        <v>12</v>
      </c>
      <c r="R16" s="7" t="s">
        <v>12</v>
      </c>
      <c r="S16" s="5" t="s">
        <v>12</v>
      </c>
      <c r="T16" s="5" t="s">
        <v>12</v>
      </c>
      <c r="U16" s="7" t="s">
        <v>13</v>
      </c>
      <c r="V16" s="7" t="s">
        <v>13</v>
      </c>
      <c r="W16" s="8" t="s">
        <v>14</v>
      </c>
    </row>
    <row r="17" spans="1:23" ht="18" thickBot="1">
      <c r="A17" s="2" t="s">
        <v>28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14</v>
      </c>
      <c r="G17" s="2" t="s">
        <v>12</v>
      </c>
      <c r="H17" s="2" t="s">
        <v>13</v>
      </c>
      <c r="I17" s="2" t="s">
        <v>12</v>
      </c>
      <c r="J17" s="2" t="s">
        <v>13</v>
      </c>
      <c r="K17" s="2" t="s">
        <v>14</v>
      </c>
      <c r="M17" s="6" t="s">
        <v>28</v>
      </c>
      <c r="N17" s="7" t="s">
        <v>12</v>
      </c>
      <c r="O17" s="7" t="s">
        <v>12</v>
      </c>
      <c r="P17" s="5" t="s">
        <v>12</v>
      </c>
      <c r="Q17" s="5" t="s">
        <v>12</v>
      </c>
      <c r="R17" s="7" t="s">
        <v>12</v>
      </c>
      <c r="S17" s="5" t="s">
        <v>12</v>
      </c>
      <c r="T17" s="5" t="s">
        <v>12</v>
      </c>
      <c r="U17" s="7" t="s">
        <v>12</v>
      </c>
      <c r="V17" s="7" t="s">
        <v>13</v>
      </c>
      <c r="W17" s="7" t="s">
        <v>13</v>
      </c>
    </row>
    <row r="18" spans="1:23" ht="18" thickBot="1">
      <c r="A18" s="2" t="s">
        <v>29</v>
      </c>
      <c r="B18" s="2" t="s">
        <v>12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13</v>
      </c>
      <c r="J18" s="2" t="s">
        <v>13</v>
      </c>
      <c r="K18" s="2" t="s">
        <v>12</v>
      </c>
      <c r="M18" s="6" t="s">
        <v>29</v>
      </c>
      <c r="N18" s="7" t="s">
        <v>12</v>
      </c>
      <c r="O18" s="7" t="s">
        <v>12</v>
      </c>
      <c r="P18" s="5" t="s">
        <v>12</v>
      </c>
      <c r="Q18" s="5" t="s">
        <v>12</v>
      </c>
      <c r="R18" s="7" t="s">
        <v>12</v>
      </c>
      <c r="S18" s="5" t="s">
        <v>12</v>
      </c>
      <c r="T18" s="5" t="s">
        <v>12</v>
      </c>
      <c r="U18" s="7" t="s">
        <v>13</v>
      </c>
      <c r="V18" s="7" t="s">
        <v>13</v>
      </c>
      <c r="W18" s="7" t="s">
        <v>13</v>
      </c>
    </row>
    <row r="19" spans="1:23" ht="35" thickBot="1">
      <c r="A19" s="2" t="s">
        <v>30</v>
      </c>
      <c r="B19" s="2" t="s">
        <v>12</v>
      </c>
      <c r="C19" s="2" t="s">
        <v>13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13</v>
      </c>
      <c r="J19" s="2" t="s">
        <v>13</v>
      </c>
      <c r="K19" s="2" t="s">
        <v>13</v>
      </c>
      <c r="M19" s="6" t="s">
        <v>30</v>
      </c>
      <c r="N19" s="7" t="s">
        <v>12</v>
      </c>
      <c r="O19" s="7" t="s">
        <v>12</v>
      </c>
      <c r="P19" s="5" t="s">
        <v>12</v>
      </c>
      <c r="Q19" s="5" t="s">
        <v>12</v>
      </c>
      <c r="R19" s="7" t="s">
        <v>12</v>
      </c>
      <c r="S19" s="5" t="s">
        <v>12</v>
      </c>
      <c r="T19" s="5" t="s">
        <v>12</v>
      </c>
      <c r="U19" s="7" t="s">
        <v>12</v>
      </c>
      <c r="V19" s="7" t="s">
        <v>13</v>
      </c>
      <c r="W19" s="7" t="s">
        <v>13</v>
      </c>
    </row>
    <row r="20" spans="1:23" ht="18" thickBot="1">
      <c r="A20" s="2" t="s">
        <v>31</v>
      </c>
      <c r="B20" s="2" t="s">
        <v>12</v>
      </c>
      <c r="C20" s="2" t="s">
        <v>13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13</v>
      </c>
      <c r="J20" s="2" t="s">
        <v>13</v>
      </c>
      <c r="K20" s="2" t="s">
        <v>14</v>
      </c>
      <c r="M20" s="6" t="s">
        <v>31</v>
      </c>
      <c r="N20" s="7" t="s">
        <v>12</v>
      </c>
      <c r="O20" s="7" t="s">
        <v>12</v>
      </c>
      <c r="P20" s="5" t="s">
        <v>12</v>
      </c>
      <c r="Q20" s="5" t="s">
        <v>12</v>
      </c>
      <c r="R20" s="7" t="s">
        <v>12</v>
      </c>
      <c r="S20" s="5" t="s">
        <v>12</v>
      </c>
      <c r="T20" s="5" t="s">
        <v>12</v>
      </c>
      <c r="U20" s="7" t="s">
        <v>13</v>
      </c>
      <c r="V20" s="7" t="s">
        <v>13</v>
      </c>
      <c r="W20" s="7" t="s">
        <v>14</v>
      </c>
    </row>
    <row r="21" spans="1:23" ht="35" thickBot="1">
      <c r="A21" s="2" t="s">
        <v>32</v>
      </c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  <c r="I21" s="2" t="s">
        <v>13</v>
      </c>
      <c r="J21" s="2" t="s">
        <v>12</v>
      </c>
      <c r="K21" s="2" t="s">
        <v>13</v>
      </c>
      <c r="M21" s="6" t="s">
        <v>32</v>
      </c>
      <c r="N21" s="7" t="s">
        <v>12</v>
      </c>
      <c r="O21" s="7" t="s">
        <v>12</v>
      </c>
      <c r="P21" s="5" t="s">
        <v>12</v>
      </c>
      <c r="Q21" s="5" t="s">
        <v>12</v>
      </c>
      <c r="R21" s="7" t="s">
        <v>12</v>
      </c>
      <c r="S21" s="5" t="s">
        <v>12</v>
      </c>
      <c r="T21" s="5" t="s">
        <v>12</v>
      </c>
      <c r="U21" s="7" t="s">
        <v>13</v>
      </c>
      <c r="V21" s="7" t="s">
        <v>13</v>
      </c>
      <c r="W21" s="7" t="s">
        <v>13</v>
      </c>
    </row>
    <row r="22" spans="1:23" ht="35" thickBot="1">
      <c r="A22" s="2" t="s">
        <v>33</v>
      </c>
      <c r="B22" s="2" t="s">
        <v>12</v>
      </c>
      <c r="C22" s="2" t="s">
        <v>13</v>
      </c>
      <c r="D22" s="2" t="s">
        <v>12</v>
      </c>
      <c r="E22" s="2" t="s">
        <v>12</v>
      </c>
      <c r="F22" s="2" t="s">
        <v>14</v>
      </c>
      <c r="G22" s="2" t="s">
        <v>12</v>
      </c>
      <c r="H22" s="2" t="s">
        <v>12</v>
      </c>
      <c r="I22" s="2" t="s">
        <v>12</v>
      </c>
      <c r="J22" s="2" t="s">
        <v>14</v>
      </c>
      <c r="K22" s="2" t="s">
        <v>14</v>
      </c>
      <c r="M22" s="6" t="s">
        <v>33</v>
      </c>
      <c r="N22" s="7" t="s">
        <v>12</v>
      </c>
      <c r="O22" s="7" t="s">
        <v>12</v>
      </c>
      <c r="P22" s="5" t="s">
        <v>12</v>
      </c>
      <c r="Q22" s="5" t="s">
        <v>12</v>
      </c>
      <c r="R22" s="7" t="s">
        <v>12</v>
      </c>
      <c r="S22" s="5" t="s">
        <v>12</v>
      </c>
      <c r="T22" s="5" t="s">
        <v>12</v>
      </c>
      <c r="U22" s="7" t="s">
        <v>12</v>
      </c>
      <c r="V22" s="7" t="s">
        <v>13</v>
      </c>
      <c r="W22" s="7" t="s">
        <v>13</v>
      </c>
    </row>
    <row r="23" spans="1:23" ht="17">
      <c r="A23" s="2" t="s">
        <v>13</v>
      </c>
      <c r="B23">
        <f>COUNTIF(B3:B22, "Low")</f>
        <v>0</v>
      </c>
      <c r="C23">
        <f t="shared" ref="C23:K23" si="0">COUNTIF(C3:C22, "Low")</f>
        <v>8</v>
      </c>
      <c r="D23">
        <f t="shared" si="0"/>
        <v>0</v>
      </c>
      <c r="E23">
        <f t="shared" si="0"/>
        <v>0</v>
      </c>
      <c r="F23">
        <f t="shared" si="0"/>
        <v>1</v>
      </c>
      <c r="G23">
        <f t="shared" si="0"/>
        <v>0</v>
      </c>
      <c r="H23">
        <f t="shared" si="0"/>
        <v>9</v>
      </c>
      <c r="I23">
        <f t="shared" si="0"/>
        <v>9</v>
      </c>
      <c r="J23">
        <f t="shared" si="0"/>
        <v>16</v>
      </c>
      <c r="K23">
        <f t="shared" si="0"/>
        <v>7</v>
      </c>
      <c r="M23" s="2" t="s">
        <v>13</v>
      </c>
      <c r="N23">
        <f>COUNTIF(N3:N22, "Low")</f>
        <v>0</v>
      </c>
      <c r="O23">
        <f t="shared" ref="O23" si="1">COUNTIF(O3:O22, "Low")</f>
        <v>1</v>
      </c>
      <c r="P23">
        <f t="shared" ref="P23" si="2">COUNTIF(P3:P22, "Low")</f>
        <v>0</v>
      </c>
      <c r="Q23">
        <f t="shared" ref="Q23" si="3">COUNTIF(Q3:Q22, "Low")</f>
        <v>0</v>
      </c>
      <c r="R23">
        <f t="shared" ref="R23" si="4">COUNTIF(R3:R22, "Low")</f>
        <v>0</v>
      </c>
      <c r="S23">
        <f t="shared" ref="S23" si="5">COUNTIF(S3:S22, "Low")</f>
        <v>0</v>
      </c>
      <c r="T23">
        <f t="shared" ref="T23" si="6">COUNTIF(T3:T22, "Low")</f>
        <v>0</v>
      </c>
      <c r="U23">
        <f t="shared" ref="U23" si="7">COUNTIF(U3:U22, "Low")</f>
        <v>12</v>
      </c>
      <c r="V23">
        <f t="shared" ref="V23" si="8">COUNTIF(V3:V22, "Low")</f>
        <v>20</v>
      </c>
      <c r="W23">
        <f t="shared" ref="W23" si="9">COUNTIF(W3:W22, "Low")</f>
        <v>15</v>
      </c>
    </row>
    <row r="24" spans="1:23" ht="17">
      <c r="A24" s="2" t="s">
        <v>12</v>
      </c>
      <c r="B24">
        <f>COUNTIF(B3:B22, "Unclear")</f>
        <v>20</v>
      </c>
      <c r="C24">
        <f t="shared" ref="C24:K24" si="10">COUNTIF(C3:C22, "Unclear")</f>
        <v>12</v>
      </c>
      <c r="D24">
        <f t="shared" si="10"/>
        <v>20</v>
      </c>
      <c r="E24">
        <f t="shared" si="10"/>
        <v>20</v>
      </c>
      <c r="F24">
        <f t="shared" si="10"/>
        <v>14</v>
      </c>
      <c r="G24">
        <f t="shared" si="10"/>
        <v>20</v>
      </c>
      <c r="H24">
        <f t="shared" si="10"/>
        <v>11</v>
      </c>
      <c r="I24">
        <f t="shared" si="10"/>
        <v>7</v>
      </c>
      <c r="J24">
        <f t="shared" si="10"/>
        <v>2</v>
      </c>
      <c r="K24">
        <f t="shared" si="10"/>
        <v>6</v>
      </c>
      <c r="M24" s="2" t="s">
        <v>12</v>
      </c>
      <c r="N24">
        <f>COUNTIF(N3:N22, "Unclear")</f>
        <v>20</v>
      </c>
      <c r="O24">
        <f t="shared" ref="O24:W24" si="11">COUNTIF(O3:O22, "Unclear")</f>
        <v>19</v>
      </c>
      <c r="P24">
        <f t="shared" si="11"/>
        <v>20</v>
      </c>
      <c r="Q24">
        <f t="shared" si="11"/>
        <v>20</v>
      </c>
      <c r="R24">
        <f t="shared" si="11"/>
        <v>20</v>
      </c>
      <c r="S24">
        <f t="shared" si="11"/>
        <v>20</v>
      </c>
      <c r="T24">
        <f t="shared" si="11"/>
        <v>20</v>
      </c>
      <c r="U24">
        <f t="shared" si="11"/>
        <v>8</v>
      </c>
      <c r="V24">
        <f t="shared" si="11"/>
        <v>0</v>
      </c>
      <c r="W24">
        <f t="shared" si="11"/>
        <v>0</v>
      </c>
    </row>
    <row r="25" spans="1:23" ht="17">
      <c r="A25" s="2" t="s">
        <v>14</v>
      </c>
      <c r="B25">
        <f>COUNTIF(B3:B22, "High")</f>
        <v>0</v>
      </c>
      <c r="C25">
        <f t="shared" ref="C25:K25" si="12">COUNTIF(C3:C22, "High")</f>
        <v>0</v>
      </c>
      <c r="D25">
        <f t="shared" si="12"/>
        <v>0</v>
      </c>
      <c r="E25">
        <f t="shared" si="12"/>
        <v>0</v>
      </c>
      <c r="F25">
        <f t="shared" si="12"/>
        <v>5</v>
      </c>
      <c r="G25">
        <f t="shared" si="12"/>
        <v>0</v>
      </c>
      <c r="H25">
        <f t="shared" si="12"/>
        <v>0</v>
      </c>
      <c r="I25">
        <f t="shared" si="12"/>
        <v>4</v>
      </c>
      <c r="J25">
        <f t="shared" si="12"/>
        <v>2</v>
      </c>
      <c r="K25">
        <f t="shared" si="12"/>
        <v>7</v>
      </c>
      <c r="M25" s="2" t="s">
        <v>14</v>
      </c>
      <c r="N25">
        <f>COUNTIF(N3:N22, "High")</f>
        <v>0</v>
      </c>
      <c r="O25">
        <f t="shared" ref="O25:W25" si="13">COUNTIF(O3:O22, "High")</f>
        <v>0</v>
      </c>
      <c r="P25">
        <f t="shared" si="13"/>
        <v>0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0</v>
      </c>
      <c r="U25">
        <f t="shared" si="13"/>
        <v>0</v>
      </c>
      <c r="V25">
        <f t="shared" si="13"/>
        <v>0</v>
      </c>
      <c r="W25">
        <f t="shared" si="13"/>
        <v>5</v>
      </c>
    </row>
    <row r="26" spans="1:23" ht="17">
      <c r="A26" s="2" t="s">
        <v>38</v>
      </c>
      <c r="B26">
        <f>(B23/20)*100</f>
        <v>0</v>
      </c>
      <c r="C26">
        <f t="shared" ref="C26:K28" si="14">(C23/20)*100</f>
        <v>40</v>
      </c>
      <c r="D26">
        <f t="shared" si="14"/>
        <v>0</v>
      </c>
      <c r="E26">
        <f t="shared" si="14"/>
        <v>0</v>
      </c>
      <c r="F26">
        <f t="shared" si="14"/>
        <v>5</v>
      </c>
      <c r="G26">
        <f t="shared" si="14"/>
        <v>0</v>
      </c>
      <c r="H26">
        <f t="shared" si="14"/>
        <v>45</v>
      </c>
      <c r="I26">
        <f t="shared" si="14"/>
        <v>45</v>
      </c>
      <c r="J26">
        <f t="shared" si="14"/>
        <v>80</v>
      </c>
      <c r="K26">
        <f t="shared" si="14"/>
        <v>35</v>
      </c>
      <c r="M26" s="2" t="s">
        <v>38</v>
      </c>
      <c r="N26">
        <f>(N23/20)*100</f>
        <v>0</v>
      </c>
      <c r="O26">
        <f t="shared" ref="O26:W26" si="15">(O23/20)*100</f>
        <v>5</v>
      </c>
      <c r="P26">
        <f t="shared" si="15"/>
        <v>0</v>
      </c>
      <c r="Q26">
        <f t="shared" si="15"/>
        <v>0</v>
      </c>
      <c r="R26">
        <f t="shared" si="15"/>
        <v>0</v>
      </c>
      <c r="S26">
        <f t="shared" si="15"/>
        <v>0</v>
      </c>
      <c r="T26">
        <f t="shared" si="15"/>
        <v>0</v>
      </c>
      <c r="U26">
        <f t="shared" si="15"/>
        <v>60</v>
      </c>
      <c r="V26">
        <f t="shared" si="15"/>
        <v>100</v>
      </c>
      <c r="W26">
        <f t="shared" si="15"/>
        <v>75</v>
      </c>
    </row>
    <row r="27" spans="1:23" ht="17">
      <c r="A27" s="2" t="s">
        <v>39</v>
      </c>
      <c r="B27">
        <f>(B24/20)*100</f>
        <v>100</v>
      </c>
      <c r="C27">
        <f t="shared" si="14"/>
        <v>60</v>
      </c>
      <c r="D27">
        <f t="shared" si="14"/>
        <v>100</v>
      </c>
      <c r="E27">
        <f t="shared" si="14"/>
        <v>100</v>
      </c>
      <c r="F27">
        <f t="shared" si="14"/>
        <v>70</v>
      </c>
      <c r="G27">
        <f t="shared" si="14"/>
        <v>100</v>
      </c>
      <c r="H27">
        <f t="shared" si="14"/>
        <v>55.000000000000007</v>
      </c>
      <c r="I27">
        <f t="shared" si="14"/>
        <v>35</v>
      </c>
      <c r="J27">
        <f t="shared" si="14"/>
        <v>10</v>
      </c>
      <c r="K27">
        <f t="shared" si="14"/>
        <v>30</v>
      </c>
      <c r="M27" s="2" t="s">
        <v>39</v>
      </c>
      <c r="N27">
        <f>(N24/20)*100</f>
        <v>100</v>
      </c>
      <c r="O27">
        <f t="shared" ref="O27:W27" si="16">(O24/20)*100</f>
        <v>95</v>
      </c>
      <c r="P27">
        <f t="shared" si="16"/>
        <v>100</v>
      </c>
      <c r="Q27">
        <f t="shared" si="16"/>
        <v>100</v>
      </c>
      <c r="R27">
        <f t="shared" si="16"/>
        <v>100</v>
      </c>
      <c r="S27">
        <f t="shared" si="16"/>
        <v>100</v>
      </c>
      <c r="T27">
        <f t="shared" si="16"/>
        <v>100</v>
      </c>
      <c r="U27">
        <f t="shared" si="16"/>
        <v>40</v>
      </c>
      <c r="V27">
        <f t="shared" si="16"/>
        <v>0</v>
      </c>
      <c r="W27">
        <f t="shared" si="16"/>
        <v>0</v>
      </c>
    </row>
    <row r="28" spans="1:23" ht="17">
      <c r="A28" s="2" t="s">
        <v>40</v>
      </c>
      <c r="B28">
        <f>(B25/20)*100</f>
        <v>0</v>
      </c>
      <c r="C28">
        <f t="shared" si="14"/>
        <v>0</v>
      </c>
      <c r="D28">
        <f t="shared" si="14"/>
        <v>0</v>
      </c>
      <c r="E28">
        <f t="shared" si="14"/>
        <v>0</v>
      </c>
      <c r="F28">
        <f t="shared" si="14"/>
        <v>25</v>
      </c>
      <c r="G28">
        <f t="shared" si="14"/>
        <v>0</v>
      </c>
      <c r="H28">
        <f t="shared" si="14"/>
        <v>0</v>
      </c>
      <c r="I28">
        <f t="shared" si="14"/>
        <v>20</v>
      </c>
      <c r="J28">
        <f t="shared" si="14"/>
        <v>10</v>
      </c>
      <c r="K28">
        <f t="shared" si="14"/>
        <v>35</v>
      </c>
      <c r="M28" s="2" t="s">
        <v>40</v>
      </c>
      <c r="N28">
        <f>(N25/20)*100</f>
        <v>0</v>
      </c>
      <c r="O28">
        <f t="shared" ref="O28:W28" si="17">(O25/20)*100</f>
        <v>0</v>
      </c>
      <c r="P28">
        <f t="shared" si="17"/>
        <v>0</v>
      </c>
      <c r="Q28">
        <f t="shared" si="17"/>
        <v>0</v>
      </c>
      <c r="R28">
        <f t="shared" si="17"/>
        <v>0</v>
      </c>
      <c r="S28">
        <f t="shared" si="17"/>
        <v>0</v>
      </c>
      <c r="T28">
        <f t="shared" si="17"/>
        <v>0</v>
      </c>
      <c r="U28">
        <f t="shared" si="17"/>
        <v>0</v>
      </c>
      <c r="V28">
        <f t="shared" si="17"/>
        <v>0</v>
      </c>
      <c r="W28">
        <f t="shared" si="17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Ramage</dc:creator>
  <cp:lastModifiedBy>Fiona Ramage</cp:lastModifiedBy>
  <dcterms:created xsi:type="dcterms:W3CDTF">2025-11-25T11:05:01Z</dcterms:created>
  <dcterms:modified xsi:type="dcterms:W3CDTF">2025-11-25T11:50:26Z</dcterms:modified>
</cp:coreProperties>
</file>