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<sst xmlns="http://schemas.openxmlformats.org/spreadsheetml/2006/main" count="666" uniqueCount="55">
  <si>
    <t>Replication</t>
  </si>
  <si>
    <t>Original</t>
  </si>
  <si>
    <t>Study</t>
  </si>
  <si>
    <t>1) Sequence generation</t>
  </si>
  <si>
    <t>2) Baseline characteristics</t>
  </si>
  <si>
    <t>3) Allocation concealment</t>
  </si>
  <si>
    <t>4) Random housing</t>
  </si>
  <si>
    <t>5) Blinding caregivers</t>
  </si>
  <si>
    <t>6) Random outcome assessment</t>
  </si>
  <si>
    <t>7) Blinding outcome assessment</t>
  </si>
  <si>
    <t>8) Incomplete outcome data</t>
  </si>
  <si>
    <t>9) Selective outcome reporting</t>
  </si>
  <si>
    <t>10) Other</t>
  </si>
  <si>
    <t>Category</t>
  </si>
  <si>
    <t>Percent agreement</t>
  </si>
  <si>
    <t>PABAK</t>
  </si>
  <si>
    <t>Cohen's κ (unweighted)</t>
  </si>
  <si>
    <t>Weighted κ (linear)</t>
  </si>
  <si>
    <t>Weighted κ (quadratic)</t>
  </si>
  <si>
    <t>Amorim, 2017</t>
  </si>
  <si>
    <t>Unclear</t>
  </si>
  <si>
    <t>Low</t>
  </si>
  <si>
    <t>High</t>
  </si>
  <si>
    <t>Burke, 2014</t>
  </si>
  <si>
    <t>Chijiwa, 2015</t>
  </si>
  <si>
    <t>Deak, 2005</t>
  </si>
  <si>
    <t>Mahmoud, 2017</t>
  </si>
  <si>
    <t>Majidi, 2016</t>
  </si>
  <si>
    <t>McKim, 2016</t>
  </si>
  <si>
    <t>Molina-Hernández, 2008a</t>
  </si>
  <si>
    <t>Molina-Hernandez, 2008a</t>
  </si>
  <si>
    <t>Molina-Hernández, 2008b</t>
  </si>
  <si>
    <t>Molina-Hernandez, 2008b</t>
  </si>
  <si>
    <t>Nagpal, 2013</t>
  </si>
  <si>
    <t>Rinwa, 2013</t>
  </si>
  <si>
    <t>Saravi, 2016a</t>
  </si>
  <si>
    <t>Saravi, 2016b</t>
  </si>
  <si>
    <t>Singh, 2016</t>
  </si>
  <si>
    <t>Singh, 2017</t>
  </si>
  <si>
    <t>Tong, 2017</t>
  </si>
  <si>
    <t>Wang, 2017</t>
  </si>
  <si>
    <t>Xu, 2017</t>
  </si>
  <si>
    <t>Zheng, 2014</t>
  </si>
  <si>
    <t>Zheng, 2015</t>
  </si>
  <si>
    <t>Arakawa, 2012</t>
  </si>
  <si>
    <r>
      <t>Henry et al.</t>
    </r>
    <r>
      <rPr>
        <rFont val="-apple-system, &quot;system-ui&quot;, &quot;Segoe UI&quot;, Roboto, Oxygen-Sans, Ubuntu, Cantarell, &quot;Helvetica Neue&quot;, sans-serif"/>
        <color rgb="FF1155CC"/>
        <u/>
      </rPr>
      <t>27</t>
    </r>
  </si>
  <si>
    <t>Liu, 2015</t>
  </si>
  <si>
    <r>
      <t>Wong et al.</t>
    </r>
    <r>
      <rPr>
        <rFont val="-apple-system, &quot;system-ui&quot;, &quot;Segoe UI&quot;, Roboto, Oxygen-Sans, Ubuntu, Cantarell, &quot;Helvetica Neue&quot;, sans-serif"/>
        <color rgb="FF1155CC"/>
        <u/>
      </rPr>
      <t>41</t>
    </r>
  </si>
  <si>
    <t>Norden, 2015</t>
  </si>
  <si>
    <t>O’Connor, 2009</t>
  </si>
  <si>
    <t>da Silva Dias, 2016</t>
  </si>
  <si>
    <t>Souza, 2017</t>
  </si>
  <si>
    <t>Vogt, 2016</t>
  </si>
  <si>
    <t>Xie, 2014</t>
  </si>
  <si>
    <t xml:space="preserve">per-category difference (direction + size)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</si>
</sst>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color rgb="FF222222"/>
      <name val="-apple-system"/>
    </font>
    <font>
      <sz val="11.0"/>
      <color theme="1"/>
      <name val="Calibri"/>
    </font>
    <font>
      <color rgb="FF222222"/>
      <name val="Arial"/>
    </font>
    <font>
      <b/>
      <sz val="12.0"/>
      <color rgb="FF000000"/>
      <name val="Calibri"/>
    </font>
    <font>
      <sz val="11.0"/>
      <color theme="1"/>
      <name val="Arial"/>
      <scheme val="minor"/>
    </font>
    <font>
      <sz val="12.0"/>
      <color rgb="FF000000"/>
      <name val="Calibri"/>
    </font>
    <font>
      <u/>
      <color rgb="FF0000FF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D5D5D5"/>
      </left>
      <right style="thin">
        <color rgb="FFD5D5D5"/>
      </right>
      <top style="medium">
        <color rgb="FFD5D5D5"/>
      </top>
      <bottom style="medium">
        <color rgb="FFD5D5D5"/>
      </bottom>
    </border>
    <border>
      <left style="medium">
        <color rgb="FFD5D5D5"/>
      </left>
      <right style="thin">
        <color rgb="FFD5D5D5"/>
      </right>
      <top style="thin">
        <color rgb="FFD5D5D5"/>
      </top>
      <bottom style="medium">
        <color rgb="FFD5D5D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textRotation="0" vertical="center" wrapText="1"/>
    </xf>
    <xf borderId="0" fillId="0" fontId="1" numFmtId="0" xfId="0" applyAlignment="1" applyFont="1">
      <alignment readingOrder="0" shrinkToFit="0" textRotation="45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textRotation="0" vertical="bottom" wrapText="1"/>
    </xf>
    <xf borderId="0" fillId="0" fontId="2" numFmtId="0" xfId="0" applyAlignment="1" applyFont="1">
      <alignment horizontal="center" readingOrder="0" textRotation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shrinkToFit="0" textRotation="0" vertical="bottom" wrapText="1"/>
    </xf>
    <xf borderId="1" fillId="0" fontId="3" numFmtId="0" xfId="0" applyAlignment="1" applyBorder="1" applyFont="1">
      <alignment horizontal="left" readingOrder="0"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2" fillId="0" fontId="3" numFmtId="0" xfId="0" applyAlignment="1" applyBorder="1" applyFont="1">
      <alignment horizontal="left" readingOrder="0" shrinkToFit="0" wrapText="1"/>
    </xf>
    <xf borderId="2" fillId="2" fontId="4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center" readingOrder="0" vertical="bottom"/>
    </xf>
    <xf borderId="2" fillId="2" fontId="6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2" fillId="0" fontId="3" numFmtId="0" xfId="0" applyAlignment="1" applyBorder="1" applyFont="1">
      <alignment horizontal="left" readingOrder="0" shrinkToFit="0" wrapText="1"/>
    </xf>
    <xf borderId="2" fillId="0" fontId="10" numFmtId="0" xfId="0" applyAlignment="1" applyBorder="1" applyFont="1">
      <alignment horizontal="left"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ure.com/articles/s41598-018-36507-9" TargetMode="External"/><Relationship Id="rId2" Type="http://schemas.openxmlformats.org/officeDocument/2006/relationships/hyperlink" Target="https://www.nature.com/articles/s41598-018-36507-9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3" width="14.63"/>
    <col customWidth="1" min="26" max="26" width="18.5"/>
    <col customWidth="1" min="27" max="27" width="17.5"/>
    <col customWidth="1" min="28" max="28" width="17.75"/>
    <col customWidth="1" min="29" max="29" width="17.5"/>
    <col customWidth="1" min="30" max="30" width="23.5"/>
  </cols>
  <sheetData>
    <row r="1" ht="36.75" customHeight="1">
      <c r="A1" s="1" t="s">
        <v>0</v>
      </c>
      <c r="L1" s="2"/>
      <c r="M1" s="1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ht="66.7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/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3"/>
      <c r="Y2" s="4" t="s">
        <v>13</v>
      </c>
      <c r="Z2" s="5" t="s">
        <v>14</v>
      </c>
      <c r="AA2" s="6" t="s">
        <v>15</v>
      </c>
      <c r="AB2" s="6" t="s">
        <v>16</v>
      </c>
      <c r="AC2" s="4" t="s">
        <v>17</v>
      </c>
      <c r="AD2" s="4" t="s">
        <v>18</v>
      </c>
      <c r="AE2" s="7"/>
      <c r="AF2" s="7"/>
      <c r="AG2" s="7"/>
      <c r="AH2" s="7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ht="18.75" customHeight="1">
      <c r="A3" s="3" t="s">
        <v>19</v>
      </c>
      <c r="B3" s="3" t="s">
        <v>20</v>
      </c>
      <c r="C3" s="3" t="s">
        <v>21</v>
      </c>
      <c r="D3" s="3" t="s">
        <v>20</v>
      </c>
      <c r="E3" s="3" t="s">
        <v>20</v>
      </c>
      <c r="F3" s="3" t="s">
        <v>21</v>
      </c>
      <c r="G3" s="3" t="s">
        <v>20</v>
      </c>
      <c r="H3" s="3" t="s">
        <v>21</v>
      </c>
      <c r="I3" s="3" t="s">
        <v>21</v>
      </c>
      <c r="J3" s="3" t="s">
        <v>21</v>
      </c>
      <c r="K3" s="3" t="s">
        <v>22</v>
      </c>
      <c r="L3" s="3"/>
      <c r="M3" s="8" t="s">
        <v>19</v>
      </c>
      <c r="N3" s="9" t="s">
        <v>20</v>
      </c>
      <c r="O3" s="9" t="s">
        <v>21</v>
      </c>
      <c r="P3" s="9" t="s">
        <v>20</v>
      </c>
      <c r="Q3" s="9" t="s">
        <v>20</v>
      </c>
      <c r="R3" s="9" t="s">
        <v>20</v>
      </c>
      <c r="S3" s="9" t="s">
        <v>20</v>
      </c>
      <c r="T3" s="9" t="s">
        <v>20</v>
      </c>
      <c r="U3" s="9" t="s">
        <v>20</v>
      </c>
      <c r="V3" s="9" t="s">
        <v>21</v>
      </c>
      <c r="W3" s="9" t="s">
        <v>21</v>
      </c>
      <c r="X3" s="3"/>
      <c r="Y3" s="4" t="s">
        <v>3</v>
      </c>
      <c r="Z3" s="10">
        <f>LET(
 o,B3:B22, r,N3:N22,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1</v>
      </c>
      <c r="AA3" s="11">
        <f>LET(
 o,B3:B22, r,N3:N22,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1</v>
      </c>
      <c r="AB3" s="11" t="str">
        <f>LET(
 o,B3:B22, r,N3:N22,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#N/A</v>
      </c>
      <c r="AC3" s="11" t="str">
        <f>LET(
 o,B3:B22, r,N3:N22,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#N/A</v>
      </c>
      <c r="AD3" s="11" t="str">
        <f>LET(
 o,B3:B22, r,N3:N22,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#N/A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18.75" customHeight="1">
      <c r="A4" s="3" t="s">
        <v>23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21</v>
      </c>
      <c r="K4" s="3" t="s">
        <v>21</v>
      </c>
      <c r="L4" s="3"/>
      <c r="M4" s="12" t="s">
        <v>23</v>
      </c>
      <c r="N4" s="13" t="s">
        <v>20</v>
      </c>
      <c r="O4" s="13" t="s">
        <v>20</v>
      </c>
      <c r="P4" s="9" t="s">
        <v>20</v>
      </c>
      <c r="Q4" s="9" t="s">
        <v>20</v>
      </c>
      <c r="R4" s="13" t="s">
        <v>20</v>
      </c>
      <c r="S4" s="9" t="s">
        <v>20</v>
      </c>
      <c r="T4" s="9" t="s">
        <v>20</v>
      </c>
      <c r="U4" s="13" t="s">
        <v>20</v>
      </c>
      <c r="V4" s="13" t="s">
        <v>21</v>
      </c>
      <c r="W4" s="13" t="s">
        <v>21</v>
      </c>
      <c r="X4" s="3"/>
      <c r="Y4" s="4" t="s">
        <v>4</v>
      </c>
      <c r="Z4" s="14">
        <f>LET(
 o,C3:C22, r,O3:O22,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0.65</v>
      </c>
      <c r="AA4" s="11">
        <f>LET(
 o,C3:C22, r,O3:O22,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0.475</v>
      </c>
      <c r="AB4" s="11">
        <f>LET(
 o,C3:C22, r,O3:O22,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0.1463414634</v>
      </c>
      <c r="AC4" s="11">
        <f>LET(
 o,C3:C22, r,O3:O22,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0.1463414634</v>
      </c>
      <c r="AD4" s="11">
        <f>LET(
 o,C3:C22, r,O3:O22,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0.1463414634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ht="18.75" customHeight="1">
      <c r="A5" s="3" t="s">
        <v>24</v>
      </c>
      <c r="B5" s="3" t="s">
        <v>20</v>
      </c>
      <c r="C5" s="3" t="s">
        <v>21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21</v>
      </c>
      <c r="I5" s="3" t="s">
        <v>21</v>
      </c>
      <c r="J5" s="3" t="s">
        <v>21</v>
      </c>
      <c r="K5" s="3" t="s">
        <v>21</v>
      </c>
      <c r="L5" s="3"/>
      <c r="M5" s="12" t="s">
        <v>24</v>
      </c>
      <c r="N5" s="13" t="s">
        <v>20</v>
      </c>
      <c r="O5" s="13" t="s">
        <v>20</v>
      </c>
      <c r="P5" s="9" t="s">
        <v>20</v>
      </c>
      <c r="Q5" s="9" t="s">
        <v>20</v>
      </c>
      <c r="R5" s="13" t="s">
        <v>20</v>
      </c>
      <c r="S5" s="9" t="s">
        <v>20</v>
      </c>
      <c r="T5" s="9" t="s">
        <v>20</v>
      </c>
      <c r="U5" s="13" t="s">
        <v>21</v>
      </c>
      <c r="V5" s="13" t="s">
        <v>21</v>
      </c>
      <c r="W5" s="13" t="s">
        <v>21</v>
      </c>
      <c r="X5" s="3"/>
      <c r="Y5" s="4" t="s">
        <v>5</v>
      </c>
      <c r="Z5" s="14">
        <f>LET(
 o,D3:D22, r,P3:P22,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1</v>
      </c>
      <c r="AA5" s="11">
        <f>LET(
 o,D3:D22, r,P3:P22,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1</v>
      </c>
      <c r="AB5" s="11" t="str">
        <f>LET(
 o,D3:D22, r,P3:P22,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#N/A</v>
      </c>
      <c r="AC5" s="11" t="str">
        <f>LET(
 o,D3:D22, r,P3:P22,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#N/A</v>
      </c>
      <c r="AD5" s="11" t="str">
        <f>LET(
 o,D3:D22, r,P3:P22,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#N/A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ht="18.75" customHeight="1">
      <c r="A6" s="3" t="s">
        <v>25</v>
      </c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21</v>
      </c>
      <c r="I6" s="3" t="s">
        <v>20</v>
      </c>
      <c r="J6" s="3" t="s">
        <v>21</v>
      </c>
      <c r="K6" s="3" t="s">
        <v>21</v>
      </c>
      <c r="L6" s="3"/>
      <c r="M6" s="12" t="s">
        <v>25</v>
      </c>
      <c r="N6" s="13" t="s">
        <v>20</v>
      </c>
      <c r="O6" s="13" t="s">
        <v>20</v>
      </c>
      <c r="P6" s="9" t="s">
        <v>20</v>
      </c>
      <c r="Q6" s="9" t="s">
        <v>20</v>
      </c>
      <c r="R6" s="13" t="s">
        <v>20</v>
      </c>
      <c r="S6" s="9" t="s">
        <v>20</v>
      </c>
      <c r="T6" s="9" t="s">
        <v>20</v>
      </c>
      <c r="U6" s="13" t="s">
        <v>21</v>
      </c>
      <c r="V6" s="13" t="s">
        <v>21</v>
      </c>
      <c r="W6" s="13" t="s">
        <v>21</v>
      </c>
      <c r="X6" s="3"/>
      <c r="Y6" s="4" t="s">
        <v>6</v>
      </c>
      <c r="Z6" s="14">
        <f>LET(
 o,E3:E22, r,Q3:Q22,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1</v>
      </c>
      <c r="AA6" s="11">
        <f>LET(
 o,E3:E22, r,Q3:Q22,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1</v>
      </c>
      <c r="AB6" s="11" t="str">
        <f>LET(
 o,E3:E22, r,Q3:Q22,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#N/A</v>
      </c>
      <c r="AC6" s="11" t="str">
        <f>LET(
 o,E3:E22, r,Q3:Q22,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#N/A</v>
      </c>
      <c r="AD6" s="11" t="str">
        <f>LET(
 o,E3:E22, r,Q3:Q22,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#N/A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ht="18.75" customHeight="1">
      <c r="A7" s="3" t="s">
        <v>26</v>
      </c>
      <c r="B7" s="3" t="s">
        <v>20</v>
      </c>
      <c r="C7" s="3" t="s">
        <v>21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21</v>
      </c>
      <c r="K7" s="3" t="s">
        <v>20</v>
      </c>
      <c r="L7" s="3"/>
      <c r="M7" s="12" t="s">
        <v>26</v>
      </c>
      <c r="N7" s="13" t="s">
        <v>20</v>
      </c>
      <c r="O7" s="13" t="s">
        <v>20</v>
      </c>
      <c r="P7" s="9" t="s">
        <v>20</v>
      </c>
      <c r="Q7" s="9" t="s">
        <v>20</v>
      </c>
      <c r="R7" s="13" t="s">
        <v>20</v>
      </c>
      <c r="S7" s="9" t="s">
        <v>20</v>
      </c>
      <c r="T7" s="9" t="s">
        <v>20</v>
      </c>
      <c r="U7" s="13" t="s">
        <v>20</v>
      </c>
      <c r="V7" s="13" t="s">
        <v>21</v>
      </c>
      <c r="W7" s="13" t="s">
        <v>21</v>
      </c>
      <c r="X7" s="3"/>
      <c r="Y7" s="4" t="s">
        <v>7</v>
      </c>
      <c r="Z7" s="14">
        <f>LET(
 o,F3:F22, r,R3:R22,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0.7</v>
      </c>
      <c r="AA7" s="11">
        <f>LET(
 o,F3:F22, r,R3:R22,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0.55</v>
      </c>
      <c r="AB7" s="11">
        <f>LET(
 o,F3:F22, r,R3:R22,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0</v>
      </c>
      <c r="AC7" s="11">
        <f>LET(
 o,F3:F22, r,R3:R22,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0</v>
      </c>
      <c r="AD7" s="11">
        <f>LET(
 o,F3:F22, r,R3:R22,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0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ht="18.75" customHeight="1">
      <c r="A8" s="3" t="s">
        <v>27</v>
      </c>
      <c r="B8" s="3" t="s">
        <v>20</v>
      </c>
      <c r="C8" s="3" t="s">
        <v>21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21</v>
      </c>
      <c r="I8" s="3" t="s">
        <v>21</v>
      </c>
      <c r="J8" s="3" t="s">
        <v>21</v>
      </c>
      <c r="K8" s="3" t="s">
        <v>20</v>
      </c>
      <c r="L8" s="3"/>
      <c r="M8" s="12" t="s">
        <v>27</v>
      </c>
      <c r="N8" s="13" t="s">
        <v>20</v>
      </c>
      <c r="O8" s="13" t="s">
        <v>20</v>
      </c>
      <c r="P8" s="9" t="s">
        <v>20</v>
      </c>
      <c r="Q8" s="9" t="s">
        <v>20</v>
      </c>
      <c r="R8" s="13" t="s">
        <v>20</v>
      </c>
      <c r="S8" s="9" t="s">
        <v>20</v>
      </c>
      <c r="T8" s="9" t="s">
        <v>20</v>
      </c>
      <c r="U8" s="13" t="s">
        <v>20</v>
      </c>
      <c r="V8" s="13" t="s">
        <v>21</v>
      </c>
      <c r="W8" s="13" t="s">
        <v>22</v>
      </c>
      <c r="X8" s="3"/>
      <c r="Y8" s="4" t="s">
        <v>8</v>
      </c>
      <c r="Z8" s="14">
        <f>LET(
 o,G3:G22, r,S3:S22,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1</v>
      </c>
      <c r="AA8" s="11">
        <f>LET(
 o,G3:G22, r,S3:S22,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1</v>
      </c>
      <c r="AB8" s="11" t="str">
        <f>LET(
 o,G3:G22, r,S3:S22,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#N/A</v>
      </c>
      <c r="AC8" s="11" t="str">
        <f>LET(
 o,G3:G22, r,S3:S22,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#N/A</v>
      </c>
      <c r="AD8" s="11" t="str">
        <f>LET(
 o,G3:G22, r,S3:S22,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#N/A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ht="18.75" customHeight="1">
      <c r="A9" s="3" t="s">
        <v>28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/>
      <c r="M9" s="12" t="s">
        <v>28</v>
      </c>
      <c r="N9" s="13" t="s">
        <v>20</v>
      </c>
      <c r="O9" s="13" t="s">
        <v>20</v>
      </c>
      <c r="P9" s="9" t="s">
        <v>20</v>
      </c>
      <c r="Q9" s="9" t="s">
        <v>20</v>
      </c>
      <c r="R9" s="13" t="s">
        <v>20</v>
      </c>
      <c r="S9" s="9" t="s">
        <v>20</v>
      </c>
      <c r="T9" s="9" t="s">
        <v>20</v>
      </c>
      <c r="U9" s="13" t="s">
        <v>21</v>
      </c>
      <c r="V9" s="13" t="s">
        <v>21</v>
      </c>
      <c r="W9" s="13" t="s">
        <v>22</v>
      </c>
      <c r="X9" s="3"/>
      <c r="Y9" s="4" t="s">
        <v>9</v>
      </c>
      <c r="Z9" s="14">
        <f>LET(
 o,H3:H22, r,T3:T22,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0.55</v>
      </c>
      <c r="AA9" s="11">
        <f>LET(
 o,H3:H22, r,T3:T22,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0.325</v>
      </c>
      <c r="AB9" s="11">
        <f>LET(
 o,H3:H22, r,T3:T22,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0</v>
      </c>
      <c r="AC9" s="11">
        <f>LET(
 o,H3:H22, r,T3:T22,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0</v>
      </c>
      <c r="AD9" s="11">
        <f>LET(
 o,H3:H22, r,T3:T22,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0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ht="18.75" customHeight="1">
      <c r="A10" s="3" t="s">
        <v>29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21</v>
      </c>
      <c r="I10" s="3" t="s">
        <v>22</v>
      </c>
      <c r="J10" s="3" t="s">
        <v>21</v>
      </c>
      <c r="K10" s="3" t="s">
        <v>21</v>
      </c>
      <c r="L10" s="3"/>
      <c r="M10" s="12" t="s">
        <v>30</v>
      </c>
      <c r="N10" s="13" t="s">
        <v>20</v>
      </c>
      <c r="O10" s="13" t="s">
        <v>20</v>
      </c>
      <c r="P10" s="9" t="s">
        <v>20</v>
      </c>
      <c r="Q10" s="9" t="s">
        <v>20</v>
      </c>
      <c r="R10" s="13" t="s">
        <v>20</v>
      </c>
      <c r="S10" s="9" t="s">
        <v>20</v>
      </c>
      <c r="T10" s="9" t="s">
        <v>20</v>
      </c>
      <c r="U10" s="13" t="s">
        <v>21</v>
      </c>
      <c r="V10" s="13" t="s">
        <v>21</v>
      </c>
      <c r="W10" s="13" t="s">
        <v>21</v>
      </c>
      <c r="X10" s="3"/>
      <c r="Y10" s="4" t="s">
        <v>10</v>
      </c>
      <c r="Z10" s="14">
        <f>LET(
 o,I3:I22, r,U3:U22,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0.5</v>
      </c>
      <c r="AA10" s="11">
        <f>LET(
 o,I3:I22, r,U3:U22,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0.25</v>
      </c>
      <c r="AB10" s="11">
        <f>LET(
 o,I3:I22, r,U3:U22,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0.1525423729</v>
      </c>
      <c r="AC10" s="11">
        <f>LET(
 o,I3:I22, r,U3:U22,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0.08450704225</v>
      </c>
      <c r="AD10" s="11">
        <f>LET(
 o,I3:I22, r,U3:U22,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0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ht="18.75" customHeight="1">
      <c r="A11" s="3" t="s">
        <v>31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21</v>
      </c>
      <c r="I11" s="3" t="s">
        <v>20</v>
      </c>
      <c r="J11" s="3" t="s">
        <v>21</v>
      </c>
      <c r="K11" s="3" t="s">
        <v>21</v>
      </c>
      <c r="L11" s="3"/>
      <c r="M11" s="12" t="s">
        <v>32</v>
      </c>
      <c r="N11" s="13" t="s">
        <v>20</v>
      </c>
      <c r="O11" s="13" t="s">
        <v>20</v>
      </c>
      <c r="P11" s="9" t="s">
        <v>20</v>
      </c>
      <c r="Q11" s="9" t="s">
        <v>20</v>
      </c>
      <c r="R11" s="13" t="s">
        <v>20</v>
      </c>
      <c r="S11" s="9" t="s">
        <v>20</v>
      </c>
      <c r="T11" s="9" t="s">
        <v>20</v>
      </c>
      <c r="U11" s="13" t="s">
        <v>21</v>
      </c>
      <c r="V11" s="13" t="s">
        <v>21</v>
      </c>
      <c r="W11" s="13" t="s">
        <v>21</v>
      </c>
      <c r="X11" s="3"/>
      <c r="Y11" s="4" t="s">
        <v>11</v>
      </c>
      <c r="Z11" s="14">
        <f>LET(
 o,J3:J22, r,V3:V22,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0.8</v>
      </c>
      <c r="AA11" s="11">
        <f>LET(
 o,J3:J22, r,V3:V22,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0.7</v>
      </c>
      <c r="AB11" s="11">
        <f>LET(
 o,J3:J22, r,V3:V22,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0</v>
      </c>
      <c r="AC11" s="11">
        <f>LET(
 o,J3:J22, r,V3:V22,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0</v>
      </c>
      <c r="AD11" s="11">
        <f>LET(
 o,J3:J22, r,V3:V22,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0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ht="18.75" customHeight="1">
      <c r="A12" s="3" t="s">
        <v>33</v>
      </c>
      <c r="B12" s="3" t="s">
        <v>20</v>
      </c>
      <c r="C12" s="3" t="s">
        <v>21</v>
      </c>
      <c r="D12" s="3" t="s">
        <v>20</v>
      </c>
      <c r="E12" s="3" t="s">
        <v>20</v>
      </c>
      <c r="F12" s="3" t="s">
        <v>22</v>
      </c>
      <c r="G12" s="3" t="s">
        <v>20</v>
      </c>
      <c r="H12" s="3" t="s">
        <v>20</v>
      </c>
      <c r="I12" s="3" t="s">
        <v>22</v>
      </c>
      <c r="J12" s="3" t="s">
        <v>21</v>
      </c>
      <c r="K12" s="3" t="s">
        <v>22</v>
      </c>
      <c r="L12" s="3"/>
      <c r="M12" s="12" t="s">
        <v>33</v>
      </c>
      <c r="N12" s="13" t="s">
        <v>20</v>
      </c>
      <c r="O12" s="13" t="s">
        <v>20</v>
      </c>
      <c r="P12" s="9" t="s">
        <v>20</v>
      </c>
      <c r="Q12" s="9" t="s">
        <v>20</v>
      </c>
      <c r="R12" s="13" t="s">
        <v>20</v>
      </c>
      <c r="S12" s="9" t="s">
        <v>20</v>
      </c>
      <c r="T12" s="9" t="s">
        <v>20</v>
      </c>
      <c r="U12" s="13" t="s">
        <v>21</v>
      </c>
      <c r="V12" s="13" t="s">
        <v>21</v>
      </c>
      <c r="W12" s="13" t="s">
        <v>21</v>
      </c>
      <c r="X12" s="3"/>
      <c r="Y12" s="4" t="s">
        <v>12</v>
      </c>
      <c r="Z12" s="14">
        <f>LET(
 o,K3:K22, r,W3:W22,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(nLL+nUU+nHH)/N ))</f>
        <v>0.5</v>
      </c>
      <c r="AA12" s="11">
        <f>LET(
 o,K3:K22, r,W3:W22,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 (3*((nLL+nUU+nHH)/N)-1)/2 ))</f>
        <v>0.25</v>
      </c>
      <c r="AB12" s="11">
        <f>LET(
 o,K3:K22, r,W3:W22,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Po,(nLL+nUU+nHH)/N,
   rL,(nLL+nLU+nLH)/N, rU,(nUL+nUU+nUH)/N, rH,(nHL+nHU+nHH)/N,
   cL,(nLL+nUL+nHL)/N, cU,(nLU+nUU+nHU)/N, cH,(nLH+nUH+nHH)/N,
   Pe, rL*cL + rU*cU + rH*cH,
   IF(1-Pe=0,NA(), (Po-Pe)/(1-Pe) )
 )
))</f>
        <v>0.2307692308</v>
      </c>
      <c r="AC12" s="11">
        <f>LET(
 o,K3:K22, r,W3:W22,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(nLU+nUL)*0.5 + nUU*1 + (nHU+nUH)*0.5 + nHH*1)/N,
   rL,(nLL+nLU+nLH)/N, rU,(nUL+nUU+nUH)/N, rH,(nHL+nHU+nHH)/N,
   cL,(nLL+nUL+nHL)/N, cU,(nLU+nUU+nHU)/N, cH,(nLH+nUH+nHH)/N,
   PeW, rL*cL*1 + rL*cU*0.5 + rL*cH*0
      + rU*cL*0.5 + rU*cU*1 + rU*cH*0.5
      + rH*cL*0 + rH*cU*0.5 + rH*cH*1,
   IF(1-PeW=0,NA(), (PoW-PeW)/(1-PeW) )
 )
))</f>
        <v>0.3</v>
      </c>
      <c r="AD12" s="11">
        <f>LET(
 o,K3:K22, r,W3:W22,
 nLL,COUNTIFS(o,"Low",r,"Low"),
 nLU,COUNTIFS(o,"Low",r,"Unclear"),
 nLH,COUNTIFS(o,"Low",r,"High"),
 nUL,COUNTIFS(o,"Unclear",r,"Low"),
 nUU,COUNTIFS(o,"Unclear",r,"Unclear"),
 nUH,COUNTIFS(o,"Unclear",r,"High"),
 nHL,COUNTIFS(o,"High",r,"Low"),
 nHU,COUNTIFS(o,"High",r,"Unclear"),
 nHH,COUNTIFS(o,"High",r,"High"),
 N, nLL+nLU+nLH+nUL+nUU+nUH+nHL+nHU+nHH,
IF(N=0,NA(),
 LET(
   PoW,(nLL*1 + (nLU+nUL)*0.75 + nUU*1 + (nHU+nUH)*0.75 + nHH*1)/N,
   rL,(nLL+nLU+nLH)/N, rU,(nUL+nUU+nUH)/N, rH,(nHL+nHU+nHH)/N,
   cL,(nLL+nUL+nHL)/N, cU,(nLU+nUU+nHU)/N, cH,(nLH+nUH+nHH)/N,
   PeW, rL*cL*1 + rL*cU*0.75 + rL*cH*0
      + rU*cL*0.75 + rU*cU*1 + rU*cH*0.75
      + rH*cL*0 + rH*cU*0.75 + rH*cH*1,
   IF(1-PeW=0,NA(), (PoW-PeW)/(1-PeW) )
 )
))</f>
        <v>0.3529411765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ht="18.75" customHeight="1">
      <c r="A13" s="3" t="s">
        <v>34</v>
      </c>
      <c r="B13" s="3" t="s">
        <v>20</v>
      </c>
      <c r="C13" s="3" t="s">
        <v>20</v>
      </c>
      <c r="D13" s="3" t="s">
        <v>20</v>
      </c>
      <c r="E13" s="3" t="s">
        <v>20</v>
      </c>
      <c r="F13" s="3" t="s">
        <v>22</v>
      </c>
      <c r="G13" s="3" t="s">
        <v>20</v>
      </c>
      <c r="H13" s="3" t="s">
        <v>21</v>
      </c>
      <c r="I13" s="3" t="s">
        <v>22</v>
      </c>
      <c r="J13" s="3" t="s">
        <v>21</v>
      </c>
      <c r="K13" s="3" t="s">
        <v>22</v>
      </c>
      <c r="L13" s="3"/>
      <c r="M13" s="12" t="s">
        <v>34</v>
      </c>
      <c r="N13" s="13" t="s">
        <v>20</v>
      </c>
      <c r="O13" s="13" t="s">
        <v>20</v>
      </c>
      <c r="P13" s="9" t="s">
        <v>20</v>
      </c>
      <c r="Q13" s="9" t="s">
        <v>20</v>
      </c>
      <c r="R13" s="13" t="s">
        <v>20</v>
      </c>
      <c r="S13" s="9" t="s">
        <v>20</v>
      </c>
      <c r="T13" s="9" t="s">
        <v>20</v>
      </c>
      <c r="U13" s="13" t="s">
        <v>21</v>
      </c>
      <c r="V13" s="13" t="s">
        <v>21</v>
      </c>
      <c r="W13" s="15" t="s">
        <v>22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ht="18.75" customHeight="1">
      <c r="A14" s="3" t="s">
        <v>35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21</v>
      </c>
      <c r="J14" s="3" t="s">
        <v>21</v>
      </c>
      <c r="K14" s="3" t="s">
        <v>20</v>
      </c>
      <c r="L14" s="3"/>
      <c r="M14" s="12" t="s">
        <v>35</v>
      </c>
      <c r="N14" s="13" t="s">
        <v>20</v>
      </c>
      <c r="O14" s="13" t="s">
        <v>20</v>
      </c>
      <c r="P14" s="9" t="s">
        <v>20</v>
      </c>
      <c r="Q14" s="9" t="s">
        <v>20</v>
      </c>
      <c r="R14" s="13" t="s">
        <v>20</v>
      </c>
      <c r="S14" s="9" t="s">
        <v>20</v>
      </c>
      <c r="T14" s="9" t="s">
        <v>20</v>
      </c>
      <c r="U14" s="13" t="s">
        <v>21</v>
      </c>
      <c r="V14" s="13" t="s">
        <v>21</v>
      </c>
      <c r="W14" s="13" t="s">
        <v>21</v>
      </c>
      <c r="X14" s="3"/>
      <c r="Y14" s="16"/>
      <c r="Z14" s="16"/>
      <c r="AA14" s="16"/>
      <c r="AB14" s="16"/>
      <c r="AC14" s="16"/>
      <c r="AD14" s="16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ht="18.75" customHeight="1">
      <c r="A15" s="17" t="s">
        <v>36</v>
      </c>
      <c r="B15" s="17" t="s">
        <v>20</v>
      </c>
      <c r="C15" s="17" t="s">
        <v>20</v>
      </c>
      <c r="D15" s="17" t="s">
        <v>20</v>
      </c>
      <c r="E15" s="17" t="s">
        <v>20</v>
      </c>
      <c r="F15" s="17" t="s">
        <v>20</v>
      </c>
      <c r="G15" s="17" t="s">
        <v>20</v>
      </c>
      <c r="H15" s="17" t="s">
        <v>21</v>
      </c>
      <c r="I15" s="17" t="s">
        <v>22</v>
      </c>
      <c r="J15" s="17" t="s">
        <v>21</v>
      </c>
      <c r="K15" s="17" t="s">
        <v>20</v>
      </c>
      <c r="L15" s="3"/>
      <c r="M15" s="12" t="s">
        <v>36</v>
      </c>
      <c r="N15" s="13" t="s">
        <v>20</v>
      </c>
      <c r="O15" s="13" t="s">
        <v>20</v>
      </c>
      <c r="P15" s="9" t="s">
        <v>20</v>
      </c>
      <c r="Q15" s="9" t="s">
        <v>20</v>
      </c>
      <c r="R15" s="13" t="s">
        <v>20</v>
      </c>
      <c r="S15" s="9" t="s">
        <v>20</v>
      </c>
      <c r="T15" s="9" t="s">
        <v>20</v>
      </c>
      <c r="U15" s="13" t="s">
        <v>20</v>
      </c>
      <c r="V15" s="13" t="s">
        <v>21</v>
      </c>
      <c r="W15" s="13" t="s">
        <v>21</v>
      </c>
      <c r="X15" s="3"/>
      <c r="Y15" s="18"/>
      <c r="Z15" s="18"/>
      <c r="AA15" s="18"/>
      <c r="AB15" s="18"/>
      <c r="AC15" s="18"/>
      <c r="AD15" s="18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ht="18.75" customHeight="1">
      <c r="A16" s="3" t="s">
        <v>37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22</v>
      </c>
      <c r="G16" s="3" t="s">
        <v>20</v>
      </c>
      <c r="H16" s="3" t="s">
        <v>20</v>
      </c>
      <c r="I16" s="3" t="s">
        <v>21</v>
      </c>
      <c r="J16" s="3" t="s">
        <v>22</v>
      </c>
      <c r="K16" s="3" t="s">
        <v>22</v>
      </c>
      <c r="L16" s="3"/>
      <c r="M16" s="12" t="s">
        <v>37</v>
      </c>
      <c r="N16" s="13" t="s">
        <v>20</v>
      </c>
      <c r="O16" s="13" t="s">
        <v>20</v>
      </c>
      <c r="P16" s="9" t="s">
        <v>20</v>
      </c>
      <c r="Q16" s="9" t="s">
        <v>20</v>
      </c>
      <c r="R16" s="13" t="s">
        <v>20</v>
      </c>
      <c r="S16" s="9" t="s">
        <v>20</v>
      </c>
      <c r="T16" s="9" t="s">
        <v>20</v>
      </c>
      <c r="U16" s="13" t="s">
        <v>21</v>
      </c>
      <c r="V16" s="13" t="s">
        <v>21</v>
      </c>
      <c r="W16" s="15" t="s">
        <v>22</v>
      </c>
      <c r="X16" s="3"/>
      <c r="Y16" s="18"/>
      <c r="Z16" s="18"/>
      <c r="AA16" s="18"/>
      <c r="AB16" s="18"/>
      <c r="AC16" s="18"/>
      <c r="AD16" s="18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ht="18.75" customHeight="1">
      <c r="A17" s="3" t="s">
        <v>38</v>
      </c>
      <c r="B17" s="3" t="s">
        <v>20</v>
      </c>
      <c r="C17" s="3" t="s">
        <v>20</v>
      </c>
      <c r="D17" s="3" t="s">
        <v>20</v>
      </c>
      <c r="E17" s="3" t="s">
        <v>20</v>
      </c>
      <c r="F17" s="3" t="s">
        <v>22</v>
      </c>
      <c r="G17" s="3" t="s">
        <v>20</v>
      </c>
      <c r="H17" s="3" t="s">
        <v>21</v>
      </c>
      <c r="I17" s="3" t="s">
        <v>20</v>
      </c>
      <c r="J17" s="3" t="s">
        <v>21</v>
      </c>
      <c r="K17" s="3" t="s">
        <v>22</v>
      </c>
      <c r="L17" s="3"/>
      <c r="M17" s="19" t="s">
        <v>38</v>
      </c>
      <c r="N17" s="13" t="s">
        <v>20</v>
      </c>
      <c r="O17" s="13" t="s">
        <v>20</v>
      </c>
      <c r="P17" s="9" t="s">
        <v>20</v>
      </c>
      <c r="Q17" s="9" t="s">
        <v>20</v>
      </c>
      <c r="R17" s="13" t="s">
        <v>20</v>
      </c>
      <c r="S17" s="9" t="s">
        <v>20</v>
      </c>
      <c r="T17" s="9" t="s">
        <v>20</v>
      </c>
      <c r="U17" s="13" t="s">
        <v>20</v>
      </c>
      <c r="V17" s="13" t="s">
        <v>21</v>
      </c>
      <c r="W17" s="13" t="s">
        <v>21</v>
      </c>
      <c r="X17" s="3"/>
      <c r="Y17" s="18"/>
      <c r="Z17" s="18"/>
      <c r="AA17" s="18"/>
      <c r="AB17" s="18"/>
      <c r="AC17" s="18"/>
      <c r="AD17" s="18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ht="18.75" customHeight="1">
      <c r="A18" s="3" t="s">
        <v>39</v>
      </c>
      <c r="B18" s="3" t="s">
        <v>20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21</v>
      </c>
      <c r="J18" s="3" t="s">
        <v>21</v>
      </c>
      <c r="K18" s="3" t="s">
        <v>20</v>
      </c>
      <c r="L18" s="3"/>
      <c r="M18" s="12" t="s">
        <v>39</v>
      </c>
      <c r="N18" s="13" t="s">
        <v>20</v>
      </c>
      <c r="O18" s="13" t="s">
        <v>20</v>
      </c>
      <c r="P18" s="9" t="s">
        <v>20</v>
      </c>
      <c r="Q18" s="9" t="s">
        <v>20</v>
      </c>
      <c r="R18" s="13" t="s">
        <v>20</v>
      </c>
      <c r="S18" s="9" t="s">
        <v>20</v>
      </c>
      <c r="T18" s="9" t="s">
        <v>20</v>
      </c>
      <c r="U18" s="13" t="s">
        <v>21</v>
      </c>
      <c r="V18" s="13" t="s">
        <v>21</v>
      </c>
      <c r="W18" s="13" t="s">
        <v>21</v>
      </c>
      <c r="X18" s="3"/>
      <c r="Y18" s="18"/>
      <c r="Z18" s="18"/>
      <c r="AA18" s="18"/>
      <c r="AB18" s="18"/>
      <c r="AC18" s="18"/>
      <c r="AD18" s="18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ht="18.75" customHeight="1">
      <c r="A19" s="3" t="s">
        <v>40</v>
      </c>
      <c r="B19" s="3" t="s">
        <v>20</v>
      </c>
      <c r="C19" s="3" t="s">
        <v>21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21</v>
      </c>
      <c r="J19" s="3" t="s">
        <v>21</v>
      </c>
      <c r="K19" s="3" t="s">
        <v>21</v>
      </c>
      <c r="L19" s="17"/>
      <c r="M19" s="12" t="s">
        <v>40</v>
      </c>
      <c r="N19" s="13" t="s">
        <v>20</v>
      </c>
      <c r="O19" s="13" t="s">
        <v>20</v>
      </c>
      <c r="P19" s="9" t="s">
        <v>20</v>
      </c>
      <c r="Q19" s="9" t="s">
        <v>20</v>
      </c>
      <c r="R19" s="13" t="s">
        <v>20</v>
      </c>
      <c r="S19" s="9" t="s">
        <v>20</v>
      </c>
      <c r="T19" s="9" t="s">
        <v>20</v>
      </c>
      <c r="U19" s="13" t="s">
        <v>20</v>
      </c>
      <c r="V19" s="13" t="s">
        <v>21</v>
      </c>
      <c r="W19" s="13" t="s">
        <v>21</v>
      </c>
      <c r="X19" s="17"/>
      <c r="Y19" s="18"/>
      <c r="Z19" s="18"/>
      <c r="AA19" s="18"/>
      <c r="AB19" s="18"/>
      <c r="AC19" s="18"/>
      <c r="AD19" s="18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</row>
    <row r="20" ht="18.75" customHeight="1">
      <c r="A20" s="3" t="s">
        <v>41</v>
      </c>
      <c r="B20" s="3" t="s">
        <v>20</v>
      </c>
      <c r="C20" s="3" t="s">
        <v>21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21</v>
      </c>
      <c r="J20" s="3" t="s">
        <v>21</v>
      </c>
      <c r="K20" s="3" t="s">
        <v>22</v>
      </c>
      <c r="L20" s="3"/>
      <c r="M20" s="12" t="s">
        <v>41</v>
      </c>
      <c r="N20" s="13" t="s">
        <v>20</v>
      </c>
      <c r="O20" s="13" t="s">
        <v>20</v>
      </c>
      <c r="P20" s="9" t="s">
        <v>20</v>
      </c>
      <c r="Q20" s="9" t="s">
        <v>20</v>
      </c>
      <c r="R20" s="13" t="s">
        <v>20</v>
      </c>
      <c r="S20" s="9" t="s">
        <v>20</v>
      </c>
      <c r="T20" s="9" t="s">
        <v>20</v>
      </c>
      <c r="U20" s="13" t="s">
        <v>21</v>
      </c>
      <c r="V20" s="13" t="s">
        <v>21</v>
      </c>
      <c r="W20" s="13" t="s">
        <v>22</v>
      </c>
      <c r="X20" s="3"/>
      <c r="Y20" s="18"/>
      <c r="Z20" s="18"/>
      <c r="AA20" s="18"/>
      <c r="AB20" s="18"/>
      <c r="AC20" s="18"/>
      <c r="AD20" s="18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ht="18.75" customHeight="1">
      <c r="A21" s="3" t="s">
        <v>42</v>
      </c>
      <c r="B21" s="3" t="s">
        <v>20</v>
      </c>
      <c r="C21" s="3" t="s">
        <v>20</v>
      </c>
      <c r="D21" s="3" t="s">
        <v>20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21</v>
      </c>
      <c r="J21" s="3" t="s">
        <v>20</v>
      </c>
      <c r="K21" s="3" t="s">
        <v>21</v>
      </c>
      <c r="L21" s="3"/>
      <c r="M21" s="12" t="s">
        <v>42</v>
      </c>
      <c r="N21" s="13" t="s">
        <v>20</v>
      </c>
      <c r="O21" s="13" t="s">
        <v>20</v>
      </c>
      <c r="P21" s="9" t="s">
        <v>20</v>
      </c>
      <c r="Q21" s="9" t="s">
        <v>20</v>
      </c>
      <c r="R21" s="13" t="s">
        <v>20</v>
      </c>
      <c r="S21" s="9" t="s">
        <v>20</v>
      </c>
      <c r="T21" s="9" t="s">
        <v>20</v>
      </c>
      <c r="U21" s="13" t="s">
        <v>21</v>
      </c>
      <c r="V21" s="13" t="s">
        <v>21</v>
      </c>
      <c r="W21" s="13" t="s">
        <v>21</v>
      </c>
      <c r="X21" s="3"/>
      <c r="Y21" s="18"/>
      <c r="Z21" s="18"/>
      <c r="AA21" s="18"/>
      <c r="AB21" s="18"/>
      <c r="AC21" s="18"/>
      <c r="AD21" s="18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ht="18.75" customHeight="1">
      <c r="A22" s="3" t="s">
        <v>43</v>
      </c>
      <c r="B22" s="3" t="s">
        <v>20</v>
      </c>
      <c r="C22" s="3" t="s">
        <v>21</v>
      </c>
      <c r="D22" s="3" t="s">
        <v>20</v>
      </c>
      <c r="E22" s="3" t="s">
        <v>20</v>
      </c>
      <c r="F22" s="3" t="s">
        <v>22</v>
      </c>
      <c r="G22" s="3" t="s">
        <v>20</v>
      </c>
      <c r="H22" s="3" t="s">
        <v>20</v>
      </c>
      <c r="I22" s="3" t="s">
        <v>20</v>
      </c>
      <c r="J22" s="3" t="s">
        <v>22</v>
      </c>
      <c r="K22" s="3" t="s">
        <v>22</v>
      </c>
      <c r="L22" s="3"/>
      <c r="M22" s="12" t="s">
        <v>43</v>
      </c>
      <c r="N22" s="13" t="s">
        <v>20</v>
      </c>
      <c r="O22" s="13" t="s">
        <v>20</v>
      </c>
      <c r="P22" s="9" t="s">
        <v>20</v>
      </c>
      <c r="Q22" s="9" t="s">
        <v>20</v>
      </c>
      <c r="R22" s="13" t="s">
        <v>20</v>
      </c>
      <c r="S22" s="9" t="s">
        <v>20</v>
      </c>
      <c r="T22" s="9" t="s">
        <v>20</v>
      </c>
      <c r="U22" s="13" t="s">
        <v>20</v>
      </c>
      <c r="V22" s="13" t="s">
        <v>21</v>
      </c>
      <c r="W22" s="13" t="s">
        <v>21</v>
      </c>
      <c r="X22" s="3"/>
      <c r="Y22" s="18"/>
      <c r="Z22" s="18"/>
      <c r="AA22" s="18"/>
      <c r="AB22" s="18"/>
      <c r="AC22" s="18"/>
      <c r="AD22" s="18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ht="18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8"/>
      <c r="Z23" s="18"/>
      <c r="AA23" s="18"/>
      <c r="AB23" s="18"/>
      <c r="AC23" s="18"/>
      <c r="AD23" s="18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ht="18.75" customHeight="1">
      <c r="A24" s="3" t="s">
        <v>44</v>
      </c>
      <c r="B24" s="3" t="s">
        <v>20</v>
      </c>
      <c r="C24" s="3" t="s">
        <v>20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21</v>
      </c>
      <c r="K24" s="3" t="s">
        <v>20</v>
      </c>
      <c r="L24" s="3"/>
      <c r="M24" s="20" t="s">
        <v>45</v>
      </c>
      <c r="N24" s="13" t="s">
        <v>20</v>
      </c>
      <c r="O24" s="13" t="s">
        <v>20</v>
      </c>
      <c r="P24" s="9" t="s">
        <v>20</v>
      </c>
      <c r="Q24" s="9" t="s">
        <v>20</v>
      </c>
      <c r="R24" s="13" t="s">
        <v>20</v>
      </c>
      <c r="S24" s="9" t="s">
        <v>20</v>
      </c>
      <c r="T24" s="9" t="s">
        <v>20</v>
      </c>
      <c r="U24" s="13" t="s">
        <v>21</v>
      </c>
      <c r="V24" s="13" t="s">
        <v>21</v>
      </c>
      <c r="W24" s="13" t="s">
        <v>21</v>
      </c>
      <c r="X24" s="3"/>
      <c r="Y24" s="18"/>
      <c r="Z24" s="18"/>
      <c r="AA24" s="18"/>
      <c r="AB24" s="18"/>
      <c r="AC24" s="18"/>
      <c r="AD24" s="18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ht="18.75" customHeight="1">
      <c r="A25" s="3" t="s">
        <v>46</v>
      </c>
      <c r="B25" s="3" t="s">
        <v>20</v>
      </c>
      <c r="C25" s="3" t="s">
        <v>21</v>
      </c>
      <c r="D25" s="3" t="s">
        <v>20</v>
      </c>
      <c r="E25" s="3" t="s">
        <v>20</v>
      </c>
      <c r="F25" s="3" t="s">
        <v>22</v>
      </c>
      <c r="G25" s="3" t="s">
        <v>20</v>
      </c>
      <c r="H25" s="3" t="s">
        <v>21</v>
      </c>
      <c r="I25" s="3" t="s">
        <v>22</v>
      </c>
      <c r="J25" s="3" t="s">
        <v>21</v>
      </c>
      <c r="K25" s="3" t="s">
        <v>22</v>
      </c>
      <c r="L25" s="3"/>
      <c r="M25" s="20" t="s">
        <v>47</v>
      </c>
      <c r="N25" s="13" t="s">
        <v>21</v>
      </c>
      <c r="O25" s="13" t="s">
        <v>20</v>
      </c>
      <c r="P25" s="9" t="s">
        <v>20</v>
      </c>
      <c r="Q25" s="9" t="s">
        <v>20</v>
      </c>
      <c r="R25" s="13" t="s">
        <v>22</v>
      </c>
      <c r="S25" s="9" t="s">
        <v>20</v>
      </c>
      <c r="T25" s="9" t="s">
        <v>20</v>
      </c>
      <c r="U25" s="13" t="s">
        <v>21</v>
      </c>
      <c r="V25" s="13" t="s">
        <v>21</v>
      </c>
      <c r="W25" s="13" t="s">
        <v>21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ht="18.75" customHeight="1">
      <c r="A26" s="3" t="s">
        <v>48</v>
      </c>
      <c r="B26" s="3" t="s">
        <v>20</v>
      </c>
      <c r="C26" s="3" t="s">
        <v>21</v>
      </c>
      <c r="D26" s="3" t="s">
        <v>20</v>
      </c>
      <c r="E26" s="3" t="s">
        <v>20</v>
      </c>
      <c r="F26" s="3" t="s">
        <v>22</v>
      </c>
      <c r="G26" s="3" t="s">
        <v>20</v>
      </c>
      <c r="H26" s="3" t="s">
        <v>20</v>
      </c>
      <c r="I26" s="3" t="s">
        <v>20</v>
      </c>
      <c r="J26" s="3" t="s">
        <v>22</v>
      </c>
      <c r="K26" s="3" t="s">
        <v>22</v>
      </c>
      <c r="L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ht="18.75" customHeight="1">
      <c r="A27" s="3" t="s">
        <v>49</v>
      </c>
      <c r="B27" s="3" t="s">
        <v>20</v>
      </c>
      <c r="C27" s="3" t="s">
        <v>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21</v>
      </c>
      <c r="K27" s="3" t="s">
        <v>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ht="18.75" customHeight="1">
      <c r="A28" s="3" t="s">
        <v>50</v>
      </c>
      <c r="B28" s="3" t="s">
        <v>20</v>
      </c>
      <c r="C28" s="3" t="s">
        <v>20</v>
      </c>
      <c r="D28" s="3" t="s">
        <v>20</v>
      </c>
      <c r="E28" s="3" t="s">
        <v>20</v>
      </c>
      <c r="F28" s="3" t="s">
        <v>22</v>
      </c>
      <c r="G28" s="3" t="s">
        <v>20</v>
      </c>
      <c r="H28" s="3" t="s">
        <v>20</v>
      </c>
      <c r="I28" s="3" t="s">
        <v>22</v>
      </c>
      <c r="J28" s="3" t="s">
        <v>21</v>
      </c>
      <c r="K28" s="3" t="s">
        <v>20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ht="18.75" customHeight="1">
      <c r="A29" s="3" t="s">
        <v>51</v>
      </c>
      <c r="B29" s="3" t="s">
        <v>20</v>
      </c>
      <c r="C29" s="3" t="s">
        <v>21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21</v>
      </c>
      <c r="K29" s="3" t="s">
        <v>20</v>
      </c>
      <c r="L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ht="18.75" customHeight="1">
      <c r="A30" s="3" t="s">
        <v>52</v>
      </c>
      <c r="B30" s="3" t="s">
        <v>20</v>
      </c>
      <c r="C30" s="3" t="s">
        <v>21</v>
      </c>
      <c r="D30" s="3" t="s">
        <v>20</v>
      </c>
      <c r="E30" s="3" t="s">
        <v>20</v>
      </c>
      <c r="F30" s="3" t="s">
        <v>22</v>
      </c>
      <c r="G30" s="3" t="s">
        <v>20</v>
      </c>
      <c r="H30" s="3" t="s">
        <v>20</v>
      </c>
      <c r="I30" s="3" t="s">
        <v>20</v>
      </c>
      <c r="J30" s="3" t="s">
        <v>21</v>
      </c>
      <c r="K30" s="3" t="s">
        <v>22</v>
      </c>
      <c r="L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ht="18.75" customHeight="1">
      <c r="A31" s="3" t="s">
        <v>53</v>
      </c>
      <c r="B31" s="3" t="s">
        <v>20</v>
      </c>
      <c r="C31" s="3" t="s">
        <v>20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21</v>
      </c>
      <c r="K31" s="3" t="s">
        <v>20</v>
      </c>
      <c r="L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ht="1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ht="18.75" customHeight="1">
      <c r="L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ht="32.25" customHeight="1">
      <c r="A34" s="1" t="s">
        <v>0</v>
      </c>
      <c r="L34" s="2"/>
      <c r="M34" s="1" t="s">
        <v>1</v>
      </c>
      <c r="X34" s="3"/>
      <c r="Y34" s="1" t="s">
        <v>54</v>
      </c>
      <c r="AJ34" s="1"/>
      <c r="AK34" s="1"/>
    </row>
    <row r="35" ht="66.75" customHeight="1">
      <c r="A35" s="2" t="s">
        <v>2</v>
      </c>
      <c r="B35" s="2" t="s">
        <v>3</v>
      </c>
      <c r="C35" s="2" t="s">
        <v>4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  <c r="L35" s="2"/>
      <c r="M35" s="2" t="s">
        <v>2</v>
      </c>
      <c r="N35" s="2" t="s">
        <v>3</v>
      </c>
      <c r="O35" s="2" t="s">
        <v>4</v>
      </c>
      <c r="P35" s="2" t="s">
        <v>5</v>
      </c>
      <c r="Q35" s="2" t="s">
        <v>6</v>
      </c>
      <c r="R35" s="2" t="s">
        <v>7</v>
      </c>
      <c r="S35" s="2" t="s">
        <v>8</v>
      </c>
      <c r="T35" s="2" t="s">
        <v>9</v>
      </c>
      <c r="U35" s="2" t="s">
        <v>10</v>
      </c>
      <c r="V35" s="2" t="s">
        <v>11</v>
      </c>
      <c r="W35" s="2" t="s">
        <v>12</v>
      </c>
      <c r="X35" s="3"/>
      <c r="Y35" s="2" t="s">
        <v>2</v>
      </c>
      <c r="Z35" s="2" t="s">
        <v>3</v>
      </c>
      <c r="AA35" s="2" t="s">
        <v>4</v>
      </c>
      <c r="AB35" s="2" t="s">
        <v>5</v>
      </c>
      <c r="AC35" s="2" t="s">
        <v>6</v>
      </c>
      <c r="AD35" s="2" t="s">
        <v>7</v>
      </c>
      <c r="AE35" s="2" t="s">
        <v>8</v>
      </c>
      <c r="AF35" s="2" t="s">
        <v>9</v>
      </c>
      <c r="AG35" s="2" t="s">
        <v>10</v>
      </c>
      <c r="AH35" s="2" t="s">
        <v>11</v>
      </c>
      <c r="AI35" s="2" t="s">
        <v>12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8.75" customHeight="1">
      <c r="A36" s="3" t="s">
        <v>19</v>
      </c>
      <c r="B36" s="3">
        <f t="shared" ref="B36:K36" si="1">IFERROR(MATCH(TRIM(B3),{"Low","Unclear","High"},0)-1,"")</f>
        <v>1</v>
      </c>
      <c r="C36" s="3">
        <f t="shared" si="1"/>
        <v>0</v>
      </c>
      <c r="D36" s="3">
        <f t="shared" si="1"/>
        <v>1</v>
      </c>
      <c r="E36" s="3">
        <f t="shared" si="1"/>
        <v>1</v>
      </c>
      <c r="F36" s="3">
        <f t="shared" si="1"/>
        <v>0</v>
      </c>
      <c r="G36" s="3">
        <f t="shared" si="1"/>
        <v>1</v>
      </c>
      <c r="H36" s="3">
        <f t="shared" si="1"/>
        <v>0</v>
      </c>
      <c r="I36" s="3">
        <f t="shared" si="1"/>
        <v>0</v>
      </c>
      <c r="J36" s="3">
        <f t="shared" si="1"/>
        <v>0</v>
      </c>
      <c r="K36" s="3">
        <f t="shared" si="1"/>
        <v>2</v>
      </c>
      <c r="L36" s="3"/>
      <c r="M36" s="8" t="s">
        <v>19</v>
      </c>
      <c r="N36" s="9">
        <f t="shared" ref="N36:W36" si="2">IFERROR(MATCH(TRIM(N3),{"Low","Unclear","High"},0)-1,"")</f>
        <v>1</v>
      </c>
      <c r="O36" s="9">
        <f t="shared" si="2"/>
        <v>0</v>
      </c>
      <c r="P36" s="9">
        <f t="shared" si="2"/>
        <v>1</v>
      </c>
      <c r="Q36" s="9">
        <f t="shared" si="2"/>
        <v>1</v>
      </c>
      <c r="R36" s="9">
        <f t="shared" si="2"/>
        <v>1</v>
      </c>
      <c r="S36" s="9">
        <f t="shared" si="2"/>
        <v>1</v>
      </c>
      <c r="T36" s="9">
        <f t="shared" si="2"/>
        <v>1</v>
      </c>
      <c r="U36" s="9">
        <f t="shared" si="2"/>
        <v>1</v>
      </c>
      <c r="V36" s="9">
        <f t="shared" si="2"/>
        <v>0</v>
      </c>
      <c r="W36" s="9">
        <f t="shared" si="2"/>
        <v>0</v>
      </c>
      <c r="X36" s="9"/>
      <c r="Y36" s="21" t="str">
        <f t="shared" ref="Y36:Y55" si="6">A36</f>
        <v>Amorim, 2017</v>
      </c>
      <c r="Z36" s="3">
        <f t="shared" ref="Z36:AI36" si="3"> (MATCH(TRIM(B3),{"Low","Unclear","High"},0) - MATCH(TRIM(N3),{"Low","Unclear","High"},0))
</f>
        <v>0</v>
      </c>
      <c r="AA36" s="3">
        <f t="shared" si="3"/>
        <v>0</v>
      </c>
      <c r="AB36" s="3">
        <f t="shared" si="3"/>
        <v>0</v>
      </c>
      <c r="AC36" s="3">
        <f t="shared" si="3"/>
        <v>0</v>
      </c>
      <c r="AD36" s="3">
        <f t="shared" si="3"/>
        <v>-1</v>
      </c>
      <c r="AE36" s="3">
        <f t="shared" si="3"/>
        <v>0</v>
      </c>
      <c r="AF36" s="3">
        <f t="shared" si="3"/>
        <v>-1</v>
      </c>
      <c r="AG36" s="3">
        <f t="shared" si="3"/>
        <v>-1</v>
      </c>
      <c r="AH36" s="3">
        <f t="shared" si="3"/>
        <v>0</v>
      </c>
      <c r="AI36" s="3">
        <f t="shared" si="3"/>
        <v>2</v>
      </c>
      <c r="AJ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ht="18.75" customHeight="1">
      <c r="A37" s="3" t="s">
        <v>23</v>
      </c>
      <c r="B37" s="3">
        <f t="shared" ref="B37:K37" si="4">IFERROR(MATCH(TRIM(B4),{"Low","Unclear","High"},0)-1,"")</f>
        <v>1</v>
      </c>
      <c r="C37" s="3">
        <f t="shared" si="4"/>
        <v>1</v>
      </c>
      <c r="D37" s="3">
        <f t="shared" si="4"/>
        <v>1</v>
      </c>
      <c r="E37" s="3">
        <f t="shared" si="4"/>
        <v>1</v>
      </c>
      <c r="F37" s="3">
        <f t="shared" si="4"/>
        <v>1</v>
      </c>
      <c r="G37" s="3">
        <f t="shared" si="4"/>
        <v>1</v>
      </c>
      <c r="H37" s="3">
        <f t="shared" si="4"/>
        <v>1</v>
      </c>
      <c r="I37" s="3">
        <f t="shared" si="4"/>
        <v>1</v>
      </c>
      <c r="J37" s="3">
        <f t="shared" si="4"/>
        <v>0</v>
      </c>
      <c r="K37" s="3">
        <f t="shared" si="4"/>
        <v>0</v>
      </c>
      <c r="L37" s="3"/>
      <c r="M37" s="12" t="s">
        <v>23</v>
      </c>
      <c r="N37" s="9">
        <f t="shared" ref="N37:W37" si="5">IFERROR(MATCH(TRIM(N4),{"Low","Unclear","High"},0)-1,"")</f>
        <v>1</v>
      </c>
      <c r="O37" s="9">
        <f t="shared" si="5"/>
        <v>1</v>
      </c>
      <c r="P37" s="9">
        <f t="shared" si="5"/>
        <v>1</v>
      </c>
      <c r="Q37" s="9">
        <f t="shared" si="5"/>
        <v>1</v>
      </c>
      <c r="R37" s="9">
        <f t="shared" si="5"/>
        <v>1</v>
      </c>
      <c r="S37" s="9">
        <f t="shared" si="5"/>
        <v>1</v>
      </c>
      <c r="T37" s="9">
        <f t="shared" si="5"/>
        <v>1</v>
      </c>
      <c r="U37" s="9">
        <f t="shared" si="5"/>
        <v>1</v>
      </c>
      <c r="V37" s="9">
        <f t="shared" si="5"/>
        <v>0</v>
      </c>
      <c r="W37" s="9">
        <f t="shared" si="5"/>
        <v>0</v>
      </c>
      <c r="X37" s="9"/>
      <c r="Y37" s="21" t="str">
        <f t="shared" si="6"/>
        <v>Burke, 2014</v>
      </c>
      <c r="Z37" s="3">
        <f t="shared" ref="Z37:AI37" si="7"> (MATCH(TRIM(B4),{"Low","Unclear","High"},0) - MATCH(TRIM(N4),{"Low","Unclear","High"},0))
</f>
        <v>0</v>
      </c>
      <c r="AA37" s="3">
        <f t="shared" si="7"/>
        <v>0</v>
      </c>
      <c r="AB37" s="3">
        <f t="shared" si="7"/>
        <v>0</v>
      </c>
      <c r="AC37" s="3">
        <f t="shared" si="7"/>
        <v>0</v>
      </c>
      <c r="AD37" s="3">
        <f t="shared" si="7"/>
        <v>0</v>
      </c>
      <c r="AE37" s="3">
        <f t="shared" si="7"/>
        <v>0</v>
      </c>
      <c r="AF37" s="3">
        <f t="shared" si="7"/>
        <v>0</v>
      </c>
      <c r="AG37" s="3">
        <f t="shared" si="7"/>
        <v>0</v>
      </c>
      <c r="AH37" s="3">
        <f t="shared" si="7"/>
        <v>0</v>
      </c>
      <c r="AI37" s="3">
        <f t="shared" si="7"/>
        <v>0</v>
      </c>
      <c r="AJ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ht="18.75" customHeight="1">
      <c r="A38" s="3" t="s">
        <v>24</v>
      </c>
      <c r="B38" s="3">
        <f t="shared" ref="B38:K38" si="8">IFERROR(MATCH(TRIM(B5),{"Low","Unclear","High"},0)-1,"")</f>
        <v>1</v>
      </c>
      <c r="C38" s="3">
        <f t="shared" si="8"/>
        <v>0</v>
      </c>
      <c r="D38" s="3">
        <f t="shared" si="8"/>
        <v>1</v>
      </c>
      <c r="E38" s="3">
        <f t="shared" si="8"/>
        <v>1</v>
      </c>
      <c r="F38" s="3">
        <f t="shared" si="8"/>
        <v>1</v>
      </c>
      <c r="G38" s="3">
        <f t="shared" si="8"/>
        <v>1</v>
      </c>
      <c r="H38" s="3">
        <f t="shared" si="8"/>
        <v>0</v>
      </c>
      <c r="I38" s="3">
        <f t="shared" si="8"/>
        <v>0</v>
      </c>
      <c r="J38" s="3">
        <f t="shared" si="8"/>
        <v>0</v>
      </c>
      <c r="K38" s="3">
        <f t="shared" si="8"/>
        <v>0</v>
      </c>
      <c r="L38" s="3"/>
      <c r="M38" s="12" t="s">
        <v>24</v>
      </c>
      <c r="N38" s="9">
        <f t="shared" ref="N38:W38" si="9">IFERROR(MATCH(TRIM(N5),{"Low","Unclear","High"},0)-1,"")</f>
        <v>1</v>
      </c>
      <c r="O38" s="9">
        <f t="shared" si="9"/>
        <v>1</v>
      </c>
      <c r="P38" s="9">
        <f t="shared" si="9"/>
        <v>1</v>
      </c>
      <c r="Q38" s="9">
        <f t="shared" si="9"/>
        <v>1</v>
      </c>
      <c r="R38" s="9">
        <f t="shared" si="9"/>
        <v>1</v>
      </c>
      <c r="S38" s="9">
        <f t="shared" si="9"/>
        <v>1</v>
      </c>
      <c r="T38" s="9">
        <f t="shared" si="9"/>
        <v>1</v>
      </c>
      <c r="U38" s="9">
        <f t="shared" si="9"/>
        <v>0</v>
      </c>
      <c r="V38" s="9">
        <f t="shared" si="9"/>
        <v>0</v>
      </c>
      <c r="W38" s="9">
        <f t="shared" si="9"/>
        <v>0</v>
      </c>
      <c r="X38" s="9"/>
      <c r="Y38" s="21" t="str">
        <f t="shared" si="6"/>
        <v>Chijiwa, 2015</v>
      </c>
      <c r="Z38" s="3">
        <f t="shared" ref="Z38:AI38" si="10"> (MATCH(TRIM(B5),{"Low","Unclear","High"},0) - MATCH(TRIM(N5),{"Low","Unclear","High"},0))
</f>
        <v>0</v>
      </c>
      <c r="AA38" s="3">
        <f t="shared" si="10"/>
        <v>-1</v>
      </c>
      <c r="AB38" s="3">
        <f t="shared" si="10"/>
        <v>0</v>
      </c>
      <c r="AC38" s="3">
        <f t="shared" si="10"/>
        <v>0</v>
      </c>
      <c r="AD38" s="3">
        <f t="shared" si="10"/>
        <v>0</v>
      </c>
      <c r="AE38" s="3">
        <f t="shared" si="10"/>
        <v>0</v>
      </c>
      <c r="AF38" s="3">
        <f t="shared" si="10"/>
        <v>-1</v>
      </c>
      <c r="AG38" s="3">
        <f t="shared" si="10"/>
        <v>0</v>
      </c>
      <c r="AH38" s="3">
        <f t="shared" si="10"/>
        <v>0</v>
      </c>
      <c r="AI38" s="3">
        <f t="shared" si="10"/>
        <v>0</v>
      </c>
      <c r="AJ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ht="18.75" customHeight="1">
      <c r="A39" s="3" t="s">
        <v>25</v>
      </c>
      <c r="B39" s="3">
        <f t="shared" ref="B39:K39" si="11">IFERROR(MATCH(TRIM(B6),{"Low","Unclear","High"},0)-1,"")</f>
        <v>1</v>
      </c>
      <c r="C39" s="3">
        <f t="shared" si="11"/>
        <v>1</v>
      </c>
      <c r="D39" s="3">
        <f t="shared" si="11"/>
        <v>1</v>
      </c>
      <c r="E39" s="3">
        <f t="shared" si="11"/>
        <v>1</v>
      </c>
      <c r="F39" s="3">
        <f t="shared" si="11"/>
        <v>1</v>
      </c>
      <c r="G39" s="3">
        <f t="shared" si="11"/>
        <v>1</v>
      </c>
      <c r="H39" s="3">
        <f t="shared" si="11"/>
        <v>0</v>
      </c>
      <c r="I39" s="3">
        <f t="shared" si="11"/>
        <v>1</v>
      </c>
      <c r="J39" s="3">
        <f t="shared" si="11"/>
        <v>0</v>
      </c>
      <c r="K39" s="3">
        <f t="shared" si="11"/>
        <v>0</v>
      </c>
      <c r="L39" s="3"/>
      <c r="M39" s="12" t="s">
        <v>25</v>
      </c>
      <c r="N39" s="9">
        <f t="shared" ref="N39:W39" si="12">IFERROR(MATCH(TRIM(N6),{"Low","Unclear","High"},0)-1,"")</f>
        <v>1</v>
      </c>
      <c r="O39" s="9">
        <f t="shared" si="12"/>
        <v>1</v>
      </c>
      <c r="P39" s="9">
        <f t="shared" si="12"/>
        <v>1</v>
      </c>
      <c r="Q39" s="9">
        <f t="shared" si="12"/>
        <v>1</v>
      </c>
      <c r="R39" s="9">
        <f t="shared" si="12"/>
        <v>1</v>
      </c>
      <c r="S39" s="9">
        <f t="shared" si="12"/>
        <v>1</v>
      </c>
      <c r="T39" s="9">
        <f t="shared" si="12"/>
        <v>1</v>
      </c>
      <c r="U39" s="9">
        <f t="shared" si="12"/>
        <v>0</v>
      </c>
      <c r="V39" s="9">
        <f t="shared" si="12"/>
        <v>0</v>
      </c>
      <c r="W39" s="9">
        <f t="shared" si="12"/>
        <v>0</v>
      </c>
      <c r="X39" s="9"/>
      <c r="Y39" s="21" t="str">
        <f t="shared" si="6"/>
        <v>Deak, 2005</v>
      </c>
      <c r="Z39" s="3">
        <f t="shared" ref="Z39:AI39" si="13"> (MATCH(TRIM(B6),{"Low","Unclear","High"},0) - MATCH(TRIM(N6),{"Low","Unclear","High"},0))
</f>
        <v>0</v>
      </c>
      <c r="AA39" s="3">
        <f t="shared" si="13"/>
        <v>0</v>
      </c>
      <c r="AB39" s="3">
        <f t="shared" si="13"/>
        <v>0</v>
      </c>
      <c r="AC39" s="3">
        <f t="shared" si="13"/>
        <v>0</v>
      </c>
      <c r="AD39" s="3">
        <f t="shared" si="13"/>
        <v>0</v>
      </c>
      <c r="AE39" s="3">
        <f t="shared" si="13"/>
        <v>0</v>
      </c>
      <c r="AF39" s="3">
        <f t="shared" si="13"/>
        <v>-1</v>
      </c>
      <c r="AG39" s="3">
        <f t="shared" si="13"/>
        <v>1</v>
      </c>
      <c r="AH39" s="3">
        <f t="shared" si="13"/>
        <v>0</v>
      </c>
      <c r="AI39" s="3">
        <f t="shared" si="13"/>
        <v>0</v>
      </c>
      <c r="AJ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ht="18.75" customHeight="1">
      <c r="A40" s="3" t="s">
        <v>26</v>
      </c>
      <c r="B40" s="3">
        <f t="shared" ref="B40:K40" si="14">IFERROR(MATCH(TRIM(B7),{"Low","Unclear","High"},0)-1,"")</f>
        <v>1</v>
      </c>
      <c r="C40" s="3">
        <f t="shared" si="14"/>
        <v>0</v>
      </c>
      <c r="D40" s="3">
        <f t="shared" si="14"/>
        <v>1</v>
      </c>
      <c r="E40" s="3">
        <f t="shared" si="14"/>
        <v>1</v>
      </c>
      <c r="F40" s="3">
        <f t="shared" si="14"/>
        <v>1</v>
      </c>
      <c r="G40" s="3">
        <f t="shared" si="14"/>
        <v>1</v>
      </c>
      <c r="H40" s="3">
        <f t="shared" si="14"/>
        <v>1</v>
      </c>
      <c r="I40" s="3">
        <f t="shared" si="14"/>
        <v>1</v>
      </c>
      <c r="J40" s="3">
        <f t="shared" si="14"/>
        <v>0</v>
      </c>
      <c r="K40" s="3">
        <f t="shared" si="14"/>
        <v>1</v>
      </c>
      <c r="L40" s="3"/>
      <c r="M40" s="12" t="s">
        <v>26</v>
      </c>
      <c r="N40" s="9">
        <f t="shared" ref="N40:W40" si="15">IFERROR(MATCH(TRIM(N7),{"Low","Unclear","High"},0)-1,"")</f>
        <v>1</v>
      </c>
      <c r="O40" s="9">
        <f t="shared" si="15"/>
        <v>1</v>
      </c>
      <c r="P40" s="9">
        <f t="shared" si="15"/>
        <v>1</v>
      </c>
      <c r="Q40" s="9">
        <f t="shared" si="15"/>
        <v>1</v>
      </c>
      <c r="R40" s="9">
        <f t="shared" si="15"/>
        <v>1</v>
      </c>
      <c r="S40" s="9">
        <f t="shared" si="15"/>
        <v>1</v>
      </c>
      <c r="T40" s="9">
        <f t="shared" si="15"/>
        <v>1</v>
      </c>
      <c r="U40" s="9">
        <f t="shared" si="15"/>
        <v>1</v>
      </c>
      <c r="V40" s="9">
        <f t="shared" si="15"/>
        <v>0</v>
      </c>
      <c r="W40" s="9">
        <f t="shared" si="15"/>
        <v>0</v>
      </c>
      <c r="X40" s="9"/>
      <c r="Y40" s="21" t="str">
        <f t="shared" si="6"/>
        <v>Mahmoud, 2017</v>
      </c>
      <c r="Z40" s="3">
        <f t="shared" ref="Z40:AI40" si="16"> (MATCH(TRIM(B7),{"Low","Unclear","High"},0) - MATCH(TRIM(N7),{"Low","Unclear","High"},0))
</f>
        <v>0</v>
      </c>
      <c r="AA40" s="3">
        <f t="shared" si="16"/>
        <v>-1</v>
      </c>
      <c r="AB40" s="3">
        <f t="shared" si="16"/>
        <v>0</v>
      </c>
      <c r="AC40" s="3">
        <f t="shared" si="16"/>
        <v>0</v>
      </c>
      <c r="AD40" s="3">
        <f t="shared" si="16"/>
        <v>0</v>
      </c>
      <c r="AE40" s="3">
        <f t="shared" si="16"/>
        <v>0</v>
      </c>
      <c r="AF40" s="3">
        <f t="shared" si="16"/>
        <v>0</v>
      </c>
      <c r="AG40" s="3">
        <f t="shared" si="16"/>
        <v>0</v>
      </c>
      <c r="AH40" s="3">
        <f t="shared" si="16"/>
        <v>0</v>
      </c>
      <c r="AI40" s="3">
        <f t="shared" si="16"/>
        <v>1</v>
      </c>
      <c r="AJ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ht="18.75" customHeight="1">
      <c r="A41" s="3" t="s">
        <v>27</v>
      </c>
      <c r="B41" s="3">
        <f t="shared" ref="B41:K41" si="17">IFERROR(MATCH(TRIM(B8),{"Low","Unclear","High"},0)-1,"")</f>
        <v>1</v>
      </c>
      <c r="C41" s="3">
        <f t="shared" si="17"/>
        <v>0</v>
      </c>
      <c r="D41" s="3">
        <f t="shared" si="17"/>
        <v>1</v>
      </c>
      <c r="E41" s="3">
        <f t="shared" si="17"/>
        <v>1</v>
      </c>
      <c r="F41" s="3">
        <f t="shared" si="17"/>
        <v>1</v>
      </c>
      <c r="G41" s="3">
        <f t="shared" si="17"/>
        <v>1</v>
      </c>
      <c r="H41" s="3">
        <f t="shared" si="17"/>
        <v>0</v>
      </c>
      <c r="I41" s="3">
        <f t="shared" si="17"/>
        <v>0</v>
      </c>
      <c r="J41" s="3">
        <f t="shared" si="17"/>
        <v>0</v>
      </c>
      <c r="K41" s="3">
        <f t="shared" si="17"/>
        <v>1</v>
      </c>
      <c r="L41" s="3"/>
      <c r="M41" s="12" t="s">
        <v>27</v>
      </c>
      <c r="N41" s="9">
        <f t="shared" ref="N41:W41" si="18">IFERROR(MATCH(TRIM(N8),{"Low","Unclear","High"},0)-1,"")</f>
        <v>1</v>
      </c>
      <c r="O41" s="9">
        <f t="shared" si="18"/>
        <v>1</v>
      </c>
      <c r="P41" s="9">
        <f t="shared" si="18"/>
        <v>1</v>
      </c>
      <c r="Q41" s="9">
        <f t="shared" si="18"/>
        <v>1</v>
      </c>
      <c r="R41" s="9">
        <f t="shared" si="18"/>
        <v>1</v>
      </c>
      <c r="S41" s="9">
        <f t="shared" si="18"/>
        <v>1</v>
      </c>
      <c r="T41" s="9">
        <f t="shared" si="18"/>
        <v>1</v>
      </c>
      <c r="U41" s="9">
        <f t="shared" si="18"/>
        <v>1</v>
      </c>
      <c r="V41" s="9">
        <f t="shared" si="18"/>
        <v>0</v>
      </c>
      <c r="W41" s="9">
        <f t="shared" si="18"/>
        <v>2</v>
      </c>
      <c r="X41" s="9"/>
      <c r="Y41" s="21" t="str">
        <f t="shared" si="6"/>
        <v>Majidi, 2016</v>
      </c>
      <c r="Z41" s="3">
        <f t="shared" ref="Z41:AI41" si="19"> (MATCH(TRIM(B8),{"Low","Unclear","High"},0) - MATCH(TRIM(N8),{"Low","Unclear","High"},0))
</f>
        <v>0</v>
      </c>
      <c r="AA41" s="3">
        <f t="shared" si="19"/>
        <v>-1</v>
      </c>
      <c r="AB41" s="3">
        <f t="shared" si="19"/>
        <v>0</v>
      </c>
      <c r="AC41" s="3">
        <f t="shared" si="19"/>
        <v>0</v>
      </c>
      <c r="AD41" s="3">
        <f t="shared" si="19"/>
        <v>0</v>
      </c>
      <c r="AE41" s="3">
        <f t="shared" si="19"/>
        <v>0</v>
      </c>
      <c r="AF41" s="3">
        <f t="shared" si="19"/>
        <v>-1</v>
      </c>
      <c r="AG41" s="3">
        <f t="shared" si="19"/>
        <v>-1</v>
      </c>
      <c r="AH41" s="3">
        <f t="shared" si="19"/>
        <v>0</v>
      </c>
      <c r="AI41" s="3">
        <f t="shared" si="19"/>
        <v>-1</v>
      </c>
      <c r="AJ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ht="18.75" customHeight="1">
      <c r="A42" s="3" t="s">
        <v>28</v>
      </c>
      <c r="B42" s="3">
        <f t="shared" ref="B42:K42" si="20">IFERROR(MATCH(TRIM(B9),{"Low","Unclear","High"},0)-1,"")</f>
        <v>1</v>
      </c>
      <c r="C42" s="3">
        <f t="shared" si="20"/>
        <v>1</v>
      </c>
      <c r="D42" s="3">
        <f t="shared" si="20"/>
        <v>1</v>
      </c>
      <c r="E42" s="3">
        <f t="shared" si="20"/>
        <v>1</v>
      </c>
      <c r="F42" s="3">
        <f t="shared" si="20"/>
        <v>1</v>
      </c>
      <c r="G42" s="3">
        <f t="shared" si="20"/>
        <v>1</v>
      </c>
      <c r="H42" s="3">
        <f t="shared" si="20"/>
        <v>1</v>
      </c>
      <c r="I42" s="3">
        <f t="shared" si="20"/>
        <v>1</v>
      </c>
      <c r="J42" s="3">
        <f t="shared" si="20"/>
        <v>1</v>
      </c>
      <c r="K42" s="3">
        <f t="shared" si="20"/>
        <v>1</v>
      </c>
      <c r="L42" s="3"/>
      <c r="M42" s="12" t="s">
        <v>28</v>
      </c>
      <c r="N42" s="9">
        <f t="shared" ref="N42:W42" si="21">IFERROR(MATCH(TRIM(N9),{"Low","Unclear","High"},0)-1,"")</f>
        <v>1</v>
      </c>
      <c r="O42" s="9">
        <f t="shared" si="21"/>
        <v>1</v>
      </c>
      <c r="P42" s="9">
        <f t="shared" si="21"/>
        <v>1</v>
      </c>
      <c r="Q42" s="9">
        <f t="shared" si="21"/>
        <v>1</v>
      </c>
      <c r="R42" s="9">
        <f t="shared" si="21"/>
        <v>1</v>
      </c>
      <c r="S42" s="9">
        <f t="shared" si="21"/>
        <v>1</v>
      </c>
      <c r="T42" s="9">
        <f t="shared" si="21"/>
        <v>1</v>
      </c>
      <c r="U42" s="9">
        <f t="shared" si="21"/>
        <v>0</v>
      </c>
      <c r="V42" s="9">
        <f t="shared" si="21"/>
        <v>0</v>
      </c>
      <c r="W42" s="9">
        <f t="shared" si="21"/>
        <v>2</v>
      </c>
      <c r="X42" s="9"/>
      <c r="Y42" s="21" t="str">
        <f t="shared" si="6"/>
        <v>McKim, 2016</v>
      </c>
      <c r="Z42" s="3">
        <f t="shared" ref="Z42:AI42" si="22"> (MATCH(TRIM(B9),{"Low","Unclear","High"},0) - MATCH(TRIM(N9),{"Low","Unclear","High"},0))
</f>
        <v>0</v>
      </c>
      <c r="AA42" s="3">
        <f t="shared" si="22"/>
        <v>0</v>
      </c>
      <c r="AB42" s="3">
        <f t="shared" si="22"/>
        <v>0</v>
      </c>
      <c r="AC42" s="3">
        <f t="shared" si="22"/>
        <v>0</v>
      </c>
      <c r="AD42" s="3">
        <f t="shared" si="22"/>
        <v>0</v>
      </c>
      <c r="AE42" s="3">
        <f t="shared" si="22"/>
        <v>0</v>
      </c>
      <c r="AF42" s="3">
        <f t="shared" si="22"/>
        <v>0</v>
      </c>
      <c r="AG42" s="3">
        <f t="shared" si="22"/>
        <v>1</v>
      </c>
      <c r="AH42" s="3">
        <f t="shared" si="22"/>
        <v>1</v>
      </c>
      <c r="AI42" s="3">
        <f t="shared" si="22"/>
        <v>-1</v>
      </c>
      <c r="AJ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ht="18.75" customHeight="1">
      <c r="A43" s="3" t="s">
        <v>29</v>
      </c>
      <c r="B43" s="3">
        <f t="shared" ref="B43:K43" si="23">IFERROR(MATCH(TRIM(B10),{"Low","Unclear","High"},0)-1,"")</f>
        <v>1</v>
      </c>
      <c r="C43" s="3">
        <f t="shared" si="23"/>
        <v>1</v>
      </c>
      <c r="D43" s="3">
        <f t="shared" si="23"/>
        <v>1</v>
      </c>
      <c r="E43" s="3">
        <f t="shared" si="23"/>
        <v>1</v>
      </c>
      <c r="F43" s="3">
        <f t="shared" si="23"/>
        <v>1</v>
      </c>
      <c r="G43" s="3">
        <f t="shared" si="23"/>
        <v>1</v>
      </c>
      <c r="H43" s="3">
        <f t="shared" si="23"/>
        <v>0</v>
      </c>
      <c r="I43" s="3">
        <f t="shared" si="23"/>
        <v>2</v>
      </c>
      <c r="J43" s="3">
        <f t="shared" si="23"/>
        <v>0</v>
      </c>
      <c r="K43" s="3">
        <f t="shared" si="23"/>
        <v>0</v>
      </c>
      <c r="L43" s="3"/>
      <c r="M43" s="12" t="s">
        <v>30</v>
      </c>
      <c r="N43" s="9">
        <f t="shared" ref="N43:W43" si="24">IFERROR(MATCH(TRIM(N10),{"Low","Unclear","High"},0)-1,"")</f>
        <v>1</v>
      </c>
      <c r="O43" s="9">
        <f t="shared" si="24"/>
        <v>1</v>
      </c>
      <c r="P43" s="9">
        <f t="shared" si="24"/>
        <v>1</v>
      </c>
      <c r="Q43" s="9">
        <f t="shared" si="24"/>
        <v>1</v>
      </c>
      <c r="R43" s="9">
        <f t="shared" si="24"/>
        <v>1</v>
      </c>
      <c r="S43" s="9">
        <f t="shared" si="24"/>
        <v>1</v>
      </c>
      <c r="T43" s="9">
        <f t="shared" si="24"/>
        <v>1</v>
      </c>
      <c r="U43" s="9">
        <f t="shared" si="24"/>
        <v>0</v>
      </c>
      <c r="V43" s="9">
        <f t="shared" si="24"/>
        <v>0</v>
      </c>
      <c r="W43" s="9">
        <f t="shared" si="24"/>
        <v>0</v>
      </c>
      <c r="X43" s="9"/>
      <c r="Y43" s="21" t="str">
        <f t="shared" si="6"/>
        <v>Molina-Hernández, 2008a</v>
      </c>
      <c r="Z43" s="3">
        <f t="shared" ref="Z43:AI43" si="25"> (MATCH(TRIM(B10),{"Low","Unclear","High"},0) - MATCH(TRIM(N10),{"Low","Unclear","High"},0))
</f>
        <v>0</v>
      </c>
      <c r="AA43" s="3">
        <f t="shared" si="25"/>
        <v>0</v>
      </c>
      <c r="AB43" s="3">
        <f t="shared" si="25"/>
        <v>0</v>
      </c>
      <c r="AC43" s="3">
        <f t="shared" si="25"/>
        <v>0</v>
      </c>
      <c r="AD43" s="3">
        <f t="shared" si="25"/>
        <v>0</v>
      </c>
      <c r="AE43" s="3">
        <f t="shared" si="25"/>
        <v>0</v>
      </c>
      <c r="AF43" s="3">
        <f t="shared" si="25"/>
        <v>-1</v>
      </c>
      <c r="AG43" s="3">
        <f t="shared" si="25"/>
        <v>2</v>
      </c>
      <c r="AH43" s="3">
        <f t="shared" si="25"/>
        <v>0</v>
      </c>
      <c r="AI43" s="3">
        <f t="shared" si="25"/>
        <v>0</v>
      </c>
      <c r="AJ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ht="18.75" customHeight="1">
      <c r="A44" s="3" t="s">
        <v>31</v>
      </c>
      <c r="B44" s="3">
        <f t="shared" ref="B44:K44" si="26">IFERROR(MATCH(TRIM(B11),{"Low","Unclear","High"},0)-1,"")</f>
        <v>1</v>
      </c>
      <c r="C44" s="3">
        <f t="shared" si="26"/>
        <v>1</v>
      </c>
      <c r="D44" s="3">
        <f t="shared" si="26"/>
        <v>1</v>
      </c>
      <c r="E44" s="3">
        <f t="shared" si="26"/>
        <v>1</v>
      </c>
      <c r="F44" s="3">
        <f t="shared" si="26"/>
        <v>1</v>
      </c>
      <c r="G44" s="3">
        <f t="shared" si="26"/>
        <v>1</v>
      </c>
      <c r="H44" s="3">
        <f t="shared" si="26"/>
        <v>0</v>
      </c>
      <c r="I44" s="3">
        <f t="shared" si="26"/>
        <v>1</v>
      </c>
      <c r="J44" s="3">
        <f t="shared" si="26"/>
        <v>0</v>
      </c>
      <c r="K44" s="3">
        <f t="shared" si="26"/>
        <v>0</v>
      </c>
      <c r="L44" s="3"/>
      <c r="M44" s="12" t="s">
        <v>32</v>
      </c>
      <c r="N44" s="9">
        <f t="shared" ref="N44:W44" si="27">IFERROR(MATCH(TRIM(N11),{"Low","Unclear","High"},0)-1,"")</f>
        <v>1</v>
      </c>
      <c r="O44" s="9">
        <f t="shared" si="27"/>
        <v>1</v>
      </c>
      <c r="P44" s="9">
        <f t="shared" si="27"/>
        <v>1</v>
      </c>
      <c r="Q44" s="9">
        <f t="shared" si="27"/>
        <v>1</v>
      </c>
      <c r="R44" s="9">
        <f t="shared" si="27"/>
        <v>1</v>
      </c>
      <c r="S44" s="9">
        <f t="shared" si="27"/>
        <v>1</v>
      </c>
      <c r="T44" s="9">
        <f t="shared" si="27"/>
        <v>1</v>
      </c>
      <c r="U44" s="9">
        <f t="shared" si="27"/>
        <v>0</v>
      </c>
      <c r="V44" s="9">
        <f t="shared" si="27"/>
        <v>0</v>
      </c>
      <c r="W44" s="9">
        <f t="shared" si="27"/>
        <v>0</v>
      </c>
      <c r="X44" s="9"/>
      <c r="Y44" s="21" t="str">
        <f t="shared" si="6"/>
        <v>Molina-Hernández, 2008b</v>
      </c>
      <c r="Z44" s="3">
        <f t="shared" ref="Z44:AI44" si="28"> (MATCH(TRIM(B11),{"Low","Unclear","High"},0) - MATCH(TRIM(N11),{"Low","Unclear","High"},0))
</f>
        <v>0</v>
      </c>
      <c r="AA44" s="3">
        <f t="shared" si="28"/>
        <v>0</v>
      </c>
      <c r="AB44" s="3">
        <f t="shared" si="28"/>
        <v>0</v>
      </c>
      <c r="AC44" s="3">
        <f t="shared" si="28"/>
        <v>0</v>
      </c>
      <c r="AD44" s="3">
        <f t="shared" si="28"/>
        <v>0</v>
      </c>
      <c r="AE44" s="3">
        <f t="shared" si="28"/>
        <v>0</v>
      </c>
      <c r="AF44" s="3">
        <f t="shared" si="28"/>
        <v>-1</v>
      </c>
      <c r="AG44" s="3">
        <f t="shared" si="28"/>
        <v>1</v>
      </c>
      <c r="AH44" s="3">
        <f t="shared" si="28"/>
        <v>0</v>
      </c>
      <c r="AI44" s="3">
        <f t="shared" si="28"/>
        <v>0</v>
      </c>
      <c r="AJ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ht="18.75" customHeight="1">
      <c r="A45" s="3" t="s">
        <v>33</v>
      </c>
      <c r="B45" s="3">
        <f t="shared" ref="B45:K45" si="29">IFERROR(MATCH(TRIM(B12),{"Low","Unclear","High"},0)-1,"")</f>
        <v>1</v>
      </c>
      <c r="C45" s="3">
        <f t="shared" si="29"/>
        <v>0</v>
      </c>
      <c r="D45" s="3">
        <f t="shared" si="29"/>
        <v>1</v>
      </c>
      <c r="E45" s="3">
        <f t="shared" si="29"/>
        <v>1</v>
      </c>
      <c r="F45" s="3">
        <f t="shared" si="29"/>
        <v>2</v>
      </c>
      <c r="G45" s="3">
        <f t="shared" si="29"/>
        <v>1</v>
      </c>
      <c r="H45" s="3">
        <f t="shared" si="29"/>
        <v>1</v>
      </c>
      <c r="I45" s="3">
        <f t="shared" si="29"/>
        <v>2</v>
      </c>
      <c r="J45" s="3">
        <f t="shared" si="29"/>
        <v>0</v>
      </c>
      <c r="K45" s="3">
        <f t="shared" si="29"/>
        <v>2</v>
      </c>
      <c r="L45" s="3"/>
      <c r="M45" s="12" t="s">
        <v>33</v>
      </c>
      <c r="N45" s="9">
        <f t="shared" ref="N45:W45" si="30">IFERROR(MATCH(TRIM(N12),{"Low","Unclear","High"},0)-1,"")</f>
        <v>1</v>
      </c>
      <c r="O45" s="9">
        <f t="shared" si="30"/>
        <v>1</v>
      </c>
      <c r="P45" s="9">
        <f t="shared" si="30"/>
        <v>1</v>
      </c>
      <c r="Q45" s="9">
        <f t="shared" si="30"/>
        <v>1</v>
      </c>
      <c r="R45" s="9">
        <f t="shared" si="30"/>
        <v>1</v>
      </c>
      <c r="S45" s="9">
        <f t="shared" si="30"/>
        <v>1</v>
      </c>
      <c r="T45" s="9">
        <f t="shared" si="30"/>
        <v>1</v>
      </c>
      <c r="U45" s="9">
        <f t="shared" si="30"/>
        <v>0</v>
      </c>
      <c r="V45" s="9">
        <f t="shared" si="30"/>
        <v>0</v>
      </c>
      <c r="W45" s="9">
        <f t="shared" si="30"/>
        <v>0</v>
      </c>
      <c r="X45" s="9"/>
      <c r="Y45" s="21" t="str">
        <f t="shared" si="6"/>
        <v>Nagpal, 2013</v>
      </c>
      <c r="Z45" s="3">
        <f t="shared" ref="Z45:AI45" si="31"> (MATCH(TRIM(B12),{"Low","Unclear","High"},0) - MATCH(TRIM(N12),{"Low","Unclear","High"},0))
</f>
        <v>0</v>
      </c>
      <c r="AA45" s="3">
        <f t="shared" si="31"/>
        <v>-1</v>
      </c>
      <c r="AB45" s="3">
        <f t="shared" si="31"/>
        <v>0</v>
      </c>
      <c r="AC45" s="3">
        <f t="shared" si="31"/>
        <v>0</v>
      </c>
      <c r="AD45" s="3">
        <f t="shared" si="31"/>
        <v>1</v>
      </c>
      <c r="AE45" s="3">
        <f t="shared" si="31"/>
        <v>0</v>
      </c>
      <c r="AF45" s="3">
        <f t="shared" si="31"/>
        <v>0</v>
      </c>
      <c r="AG45" s="3">
        <f t="shared" si="31"/>
        <v>2</v>
      </c>
      <c r="AH45" s="3">
        <f t="shared" si="31"/>
        <v>0</v>
      </c>
      <c r="AI45" s="3">
        <f t="shared" si="31"/>
        <v>2</v>
      </c>
      <c r="AJ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ht="18.75" customHeight="1">
      <c r="A46" s="3" t="s">
        <v>34</v>
      </c>
      <c r="B46" s="3">
        <f t="shared" ref="B46:K46" si="32">IFERROR(MATCH(TRIM(B13),{"Low","Unclear","High"},0)-1,"")</f>
        <v>1</v>
      </c>
      <c r="C46" s="3">
        <f t="shared" si="32"/>
        <v>1</v>
      </c>
      <c r="D46" s="3">
        <f t="shared" si="32"/>
        <v>1</v>
      </c>
      <c r="E46" s="3">
        <f t="shared" si="32"/>
        <v>1</v>
      </c>
      <c r="F46" s="3">
        <f t="shared" si="32"/>
        <v>2</v>
      </c>
      <c r="G46" s="3">
        <f t="shared" si="32"/>
        <v>1</v>
      </c>
      <c r="H46" s="3">
        <f t="shared" si="32"/>
        <v>0</v>
      </c>
      <c r="I46" s="3">
        <f t="shared" si="32"/>
        <v>2</v>
      </c>
      <c r="J46" s="3">
        <f t="shared" si="32"/>
        <v>0</v>
      </c>
      <c r="K46" s="3">
        <f t="shared" si="32"/>
        <v>2</v>
      </c>
      <c r="L46" s="3"/>
      <c r="M46" s="12" t="s">
        <v>34</v>
      </c>
      <c r="N46" s="9">
        <f t="shared" ref="N46:W46" si="33">IFERROR(MATCH(TRIM(N13),{"Low","Unclear","High"},0)-1,"")</f>
        <v>1</v>
      </c>
      <c r="O46" s="9">
        <f t="shared" si="33"/>
        <v>1</v>
      </c>
      <c r="P46" s="9">
        <f t="shared" si="33"/>
        <v>1</v>
      </c>
      <c r="Q46" s="9">
        <f t="shared" si="33"/>
        <v>1</v>
      </c>
      <c r="R46" s="9">
        <f t="shared" si="33"/>
        <v>1</v>
      </c>
      <c r="S46" s="9">
        <f t="shared" si="33"/>
        <v>1</v>
      </c>
      <c r="T46" s="9">
        <f t="shared" si="33"/>
        <v>1</v>
      </c>
      <c r="U46" s="9">
        <f t="shared" si="33"/>
        <v>0</v>
      </c>
      <c r="V46" s="9">
        <f t="shared" si="33"/>
        <v>0</v>
      </c>
      <c r="W46" s="9">
        <f t="shared" si="33"/>
        <v>2</v>
      </c>
      <c r="X46" s="9"/>
      <c r="Y46" s="21" t="str">
        <f t="shared" si="6"/>
        <v>Rinwa, 2013</v>
      </c>
      <c r="Z46" s="3">
        <f t="shared" ref="Z46:AI46" si="34"> (MATCH(TRIM(B13),{"Low","Unclear","High"},0) - MATCH(TRIM(N13),{"Low","Unclear","High"},0))
</f>
        <v>0</v>
      </c>
      <c r="AA46" s="3">
        <f t="shared" si="34"/>
        <v>0</v>
      </c>
      <c r="AB46" s="3">
        <f t="shared" si="34"/>
        <v>0</v>
      </c>
      <c r="AC46" s="3">
        <f t="shared" si="34"/>
        <v>0</v>
      </c>
      <c r="AD46" s="3">
        <f t="shared" si="34"/>
        <v>1</v>
      </c>
      <c r="AE46" s="3">
        <f t="shared" si="34"/>
        <v>0</v>
      </c>
      <c r="AF46" s="3">
        <f t="shared" si="34"/>
        <v>-1</v>
      </c>
      <c r="AG46" s="3">
        <f t="shared" si="34"/>
        <v>2</v>
      </c>
      <c r="AH46" s="3">
        <f t="shared" si="34"/>
        <v>0</v>
      </c>
      <c r="AI46" s="3">
        <f t="shared" si="34"/>
        <v>0</v>
      </c>
      <c r="AJ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ht="18.75" customHeight="1">
      <c r="A47" s="3" t="s">
        <v>35</v>
      </c>
      <c r="B47" s="3">
        <f t="shared" ref="B47:K47" si="35">IFERROR(MATCH(TRIM(B14),{"Low","Unclear","High"},0)-1,"")</f>
        <v>1</v>
      </c>
      <c r="C47" s="3">
        <f t="shared" si="35"/>
        <v>1</v>
      </c>
      <c r="D47" s="3">
        <f t="shared" si="35"/>
        <v>1</v>
      </c>
      <c r="E47" s="3">
        <f t="shared" si="35"/>
        <v>1</v>
      </c>
      <c r="F47" s="3">
        <f t="shared" si="35"/>
        <v>1</v>
      </c>
      <c r="G47" s="3">
        <f t="shared" si="35"/>
        <v>1</v>
      </c>
      <c r="H47" s="3">
        <f t="shared" si="35"/>
        <v>1</v>
      </c>
      <c r="I47" s="3">
        <f t="shared" si="35"/>
        <v>0</v>
      </c>
      <c r="J47" s="3">
        <f t="shared" si="35"/>
        <v>0</v>
      </c>
      <c r="K47" s="3">
        <f t="shared" si="35"/>
        <v>1</v>
      </c>
      <c r="L47" s="3"/>
      <c r="M47" s="12" t="s">
        <v>35</v>
      </c>
      <c r="N47" s="9">
        <f t="shared" ref="N47:W47" si="36">IFERROR(MATCH(TRIM(N14),{"Low","Unclear","High"},0)-1,"")</f>
        <v>1</v>
      </c>
      <c r="O47" s="9">
        <f t="shared" si="36"/>
        <v>1</v>
      </c>
      <c r="P47" s="9">
        <f t="shared" si="36"/>
        <v>1</v>
      </c>
      <c r="Q47" s="9">
        <f t="shared" si="36"/>
        <v>1</v>
      </c>
      <c r="R47" s="9">
        <f t="shared" si="36"/>
        <v>1</v>
      </c>
      <c r="S47" s="9">
        <f t="shared" si="36"/>
        <v>1</v>
      </c>
      <c r="T47" s="9">
        <f t="shared" si="36"/>
        <v>1</v>
      </c>
      <c r="U47" s="9">
        <f t="shared" si="36"/>
        <v>0</v>
      </c>
      <c r="V47" s="9">
        <f t="shared" si="36"/>
        <v>0</v>
      </c>
      <c r="W47" s="9">
        <f t="shared" si="36"/>
        <v>0</v>
      </c>
      <c r="X47" s="9"/>
      <c r="Y47" s="21" t="str">
        <f t="shared" si="6"/>
        <v>Saravi, 2016a</v>
      </c>
      <c r="Z47" s="3">
        <f t="shared" ref="Z47:AI47" si="37"> (MATCH(TRIM(B14),{"Low","Unclear","High"},0) - MATCH(TRIM(N14),{"Low","Unclear","High"},0))
</f>
        <v>0</v>
      </c>
      <c r="AA47" s="3">
        <f t="shared" si="37"/>
        <v>0</v>
      </c>
      <c r="AB47" s="3">
        <f t="shared" si="37"/>
        <v>0</v>
      </c>
      <c r="AC47" s="3">
        <f t="shared" si="37"/>
        <v>0</v>
      </c>
      <c r="AD47" s="3">
        <f t="shared" si="37"/>
        <v>0</v>
      </c>
      <c r="AE47" s="3">
        <f t="shared" si="37"/>
        <v>0</v>
      </c>
      <c r="AF47" s="3">
        <f t="shared" si="37"/>
        <v>0</v>
      </c>
      <c r="AG47" s="3">
        <f t="shared" si="37"/>
        <v>0</v>
      </c>
      <c r="AH47" s="3">
        <f t="shared" si="37"/>
        <v>0</v>
      </c>
      <c r="AI47" s="3">
        <f t="shared" si="37"/>
        <v>1</v>
      </c>
      <c r="AJ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ht="18.75" customHeight="1">
      <c r="A48" s="17" t="s">
        <v>36</v>
      </c>
      <c r="B48" s="3">
        <f t="shared" ref="B48:K48" si="38">IFERROR(MATCH(TRIM(B15),{"Low","Unclear","High"},0)-1,"")</f>
        <v>1</v>
      </c>
      <c r="C48" s="3">
        <f t="shared" si="38"/>
        <v>1</v>
      </c>
      <c r="D48" s="3">
        <f t="shared" si="38"/>
        <v>1</v>
      </c>
      <c r="E48" s="3">
        <f t="shared" si="38"/>
        <v>1</v>
      </c>
      <c r="F48" s="3">
        <f t="shared" si="38"/>
        <v>1</v>
      </c>
      <c r="G48" s="3">
        <f t="shared" si="38"/>
        <v>1</v>
      </c>
      <c r="H48" s="3">
        <f t="shared" si="38"/>
        <v>0</v>
      </c>
      <c r="I48" s="3">
        <f t="shared" si="38"/>
        <v>2</v>
      </c>
      <c r="J48" s="3">
        <f t="shared" si="38"/>
        <v>0</v>
      </c>
      <c r="K48" s="3">
        <f t="shared" si="38"/>
        <v>1</v>
      </c>
      <c r="L48" s="3"/>
      <c r="M48" s="12" t="s">
        <v>36</v>
      </c>
      <c r="N48" s="9">
        <f t="shared" ref="N48:W48" si="39">IFERROR(MATCH(TRIM(N15),{"Low","Unclear","High"},0)-1,"")</f>
        <v>1</v>
      </c>
      <c r="O48" s="9">
        <f t="shared" si="39"/>
        <v>1</v>
      </c>
      <c r="P48" s="9">
        <f t="shared" si="39"/>
        <v>1</v>
      </c>
      <c r="Q48" s="9">
        <f t="shared" si="39"/>
        <v>1</v>
      </c>
      <c r="R48" s="9">
        <f t="shared" si="39"/>
        <v>1</v>
      </c>
      <c r="S48" s="9">
        <f t="shared" si="39"/>
        <v>1</v>
      </c>
      <c r="T48" s="9">
        <f t="shared" si="39"/>
        <v>1</v>
      </c>
      <c r="U48" s="9">
        <f t="shared" si="39"/>
        <v>1</v>
      </c>
      <c r="V48" s="9">
        <f t="shared" si="39"/>
        <v>0</v>
      </c>
      <c r="W48" s="9">
        <f t="shared" si="39"/>
        <v>0</v>
      </c>
      <c r="X48" s="9"/>
      <c r="Y48" s="21" t="str">
        <f t="shared" si="6"/>
        <v>Saravi, 2016b</v>
      </c>
      <c r="Z48" s="3">
        <f t="shared" ref="Z48:AI48" si="40"> (MATCH(TRIM(B15),{"Low","Unclear","High"},0) - MATCH(TRIM(N15),{"Low","Unclear","High"},0))
</f>
        <v>0</v>
      </c>
      <c r="AA48" s="3">
        <f t="shared" si="40"/>
        <v>0</v>
      </c>
      <c r="AB48" s="3">
        <f t="shared" si="40"/>
        <v>0</v>
      </c>
      <c r="AC48" s="3">
        <f t="shared" si="40"/>
        <v>0</v>
      </c>
      <c r="AD48" s="3">
        <f t="shared" si="40"/>
        <v>0</v>
      </c>
      <c r="AE48" s="3">
        <f t="shared" si="40"/>
        <v>0</v>
      </c>
      <c r="AF48" s="3">
        <f t="shared" si="40"/>
        <v>-1</v>
      </c>
      <c r="AG48" s="3">
        <f t="shared" si="40"/>
        <v>1</v>
      </c>
      <c r="AH48" s="3">
        <f t="shared" si="40"/>
        <v>0</v>
      </c>
      <c r="AI48" s="3">
        <f t="shared" si="40"/>
        <v>1</v>
      </c>
      <c r="AJ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ht="18.75" customHeight="1">
      <c r="A49" s="3" t="s">
        <v>37</v>
      </c>
      <c r="B49" s="3">
        <f t="shared" ref="B49:K49" si="41">IFERROR(MATCH(TRIM(B16),{"Low","Unclear","High"},0)-1,"")</f>
        <v>1</v>
      </c>
      <c r="C49" s="3">
        <f t="shared" si="41"/>
        <v>1</v>
      </c>
      <c r="D49" s="3">
        <f t="shared" si="41"/>
        <v>1</v>
      </c>
      <c r="E49" s="3">
        <f t="shared" si="41"/>
        <v>1</v>
      </c>
      <c r="F49" s="3">
        <f t="shared" si="41"/>
        <v>2</v>
      </c>
      <c r="G49" s="3">
        <f t="shared" si="41"/>
        <v>1</v>
      </c>
      <c r="H49" s="3">
        <f t="shared" si="41"/>
        <v>1</v>
      </c>
      <c r="I49" s="3">
        <f t="shared" si="41"/>
        <v>0</v>
      </c>
      <c r="J49" s="3">
        <f t="shared" si="41"/>
        <v>2</v>
      </c>
      <c r="K49" s="3">
        <f t="shared" si="41"/>
        <v>2</v>
      </c>
      <c r="L49" s="3"/>
      <c r="M49" s="12" t="s">
        <v>37</v>
      </c>
      <c r="N49" s="9">
        <f t="shared" ref="N49:W49" si="42">IFERROR(MATCH(TRIM(N16),{"Low","Unclear","High"},0)-1,"")</f>
        <v>1</v>
      </c>
      <c r="O49" s="9">
        <f t="shared" si="42"/>
        <v>1</v>
      </c>
      <c r="P49" s="9">
        <f t="shared" si="42"/>
        <v>1</v>
      </c>
      <c r="Q49" s="9">
        <f t="shared" si="42"/>
        <v>1</v>
      </c>
      <c r="R49" s="9">
        <f t="shared" si="42"/>
        <v>1</v>
      </c>
      <c r="S49" s="9">
        <f t="shared" si="42"/>
        <v>1</v>
      </c>
      <c r="T49" s="9">
        <f t="shared" si="42"/>
        <v>1</v>
      </c>
      <c r="U49" s="9">
        <f t="shared" si="42"/>
        <v>0</v>
      </c>
      <c r="V49" s="9">
        <f t="shared" si="42"/>
        <v>0</v>
      </c>
      <c r="W49" s="9">
        <f t="shared" si="42"/>
        <v>2</v>
      </c>
      <c r="X49" s="9"/>
      <c r="Y49" s="21" t="str">
        <f t="shared" si="6"/>
        <v>Singh, 2016</v>
      </c>
      <c r="Z49" s="3">
        <f t="shared" ref="Z49:AI49" si="43"> (MATCH(TRIM(B16),{"Low","Unclear","High"},0) - MATCH(TRIM(N16),{"Low","Unclear","High"},0))
</f>
        <v>0</v>
      </c>
      <c r="AA49" s="3">
        <f t="shared" si="43"/>
        <v>0</v>
      </c>
      <c r="AB49" s="3">
        <f t="shared" si="43"/>
        <v>0</v>
      </c>
      <c r="AC49" s="3">
        <f t="shared" si="43"/>
        <v>0</v>
      </c>
      <c r="AD49" s="3">
        <f t="shared" si="43"/>
        <v>1</v>
      </c>
      <c r="AE49" s="3">
        <f t="shared" si="43"/>
        <v>0</v>
      </c>
      <c r="AF49" s="3">
        <f t="shared" si="43"/>
        <v>0</v>
      </c>
      <c r="AG49" s="3">
        <f t="shared" si="43"/>
        <v>0</v>
      </c>
      <c r="AH49" s="3">
        <f t="shared" si="43"/>
        <v>2</v>
      </c>
      <c r="AI49" s="3">
        <f t="shared" si="43"/>
        <v>0</v>
      </c>
      <c r="AJ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ht="18.75" customHeight="1">
      <c r="A50" s="3" t="s">
        <v>38</v>
      </c>
      <c r="B50" s="3">
        <f t="shared" ref="B50:K50" si="44">IFERROR(MATCH(TRIM(B17),{"Low","Unclear","High"},0)-1,"")</f>
        <v>1</v>
      </c>
      <c r="C50" s="3">
        <f t="shared" si="44"/>
        <v>1</v>
      </c>
      <c r="D50" s="3">
        <f t="shared" si="44"/>
        <v>1</v>
      </c>
      <c r="E50" s="3">
        <f t="shared" si="44"/>
        <v>1</v>
      </c>
      <c r="F50" s="3">
        <f t="shared" si="44"/>
        <v>2</v>
      </c>
      <c r="G50" s="3">
        <f t="shared" si="44"/>
        <v>1</v>
      </c>
      <c r="H50" s="3">
        <f t="shared" si="44"/>
        <v>0</v>
      </c>
      <c r="I50" s="3">
        <f t="shared" si="44"/>
        <v>1</v>
      </c>
      <c r="J50" s="3">
        <f t="shared" si="44"/>
        <v>0</v>
      </c>
      <c r="K50" s="3">
        <f t="shared" si="44"/>
        <v>2</v>
      </c>
      <c r="L50" s="3"/>
      <c r="M50" s="19" t="s">
        <v>38</v>
      </c>
      <c r="N50" s="9">
        <f t="shared" ref="N50:W50" si="45">IFERROR(MATCH(TRIM(N17),{"Low","Unclear","High"},0)-1,"")</f>
        <v>1</v>
      </c>
      <c r="O50" s="9">
        <f t="shared" si="45"/>
        <v>1</v>
      </c>
      <c r="P50" s="9">
        <f t="shared" si="45"/>
        <v>1</v>
      </c>
      <c r="Q50" s="9">
        <f t="shared" si="45"/>
        <v>1</v>
      </c>
      <c r="R50" s="9">
        <f t="shared" si="45"/>
        <v>1</v>
      </c>
      <c r="S50" s="9">
        <f t="shared" si="45"/>
        <v>1</v>
      </c>
      <c r="T50" s="9">
        <f t="shared" si="45"/>
        <v>1</v>
      </c>
      <c r="U50" s="9">
        <f t="shared" si="45"/>
        <v>1</v>
      </c>
      <c r="V50" s="9">
        <f t="shared" si="45"/>
        <v>0</v>
      </c>
      <c r="W50" s="9">
        <f t="shared" si="45"/>
        <v>0</v>
      </c>
      <c r="X50" s="9"/>
      <c r="Y50" s="21" t="str">
        <f t="shared" si="6"/>
        <v>Singh, 2017</v>
      </c>
      <c r="Z50" s="3">
        <f t="shared" ref="Z50:AI50" si="46"> (MATCH(TRIM(B17),{"Low","Unclear","High"},0) - MATCH(TRIM(N17),{"Low","Unclear","High"},0))
</f>
        <v>0</v>
      </c>
      <c r="AA50" s="3">
        <f t="shared" si="46"/>
        <v>0</v>
      </c>
      <c r="AB50" s="3">
        <f t="shared" si="46"/>
        <v>0</v>
      </c>
      <c r="AC50" s="3">
        <f t="shared" si="46"/>
        <v>0</v>
      </c>
      <c r="AD50" s="3">
        <f t="shared" si="46"/>
        <v>1</v>
      </c>
      <c r="AE50" s="3">
        <f t="shared" si="46"/>
        <v>0</v>
      </c>
      <c r="AF50" s="3">
        <f t="shared" si="46"/>
        <v>-1</v>
      </c>
      <c r="AG50" s="3">
        <f t="shared" si="46"/>
        <v>0</v>
      </c>
      <c r="AH50" s="3">
        <f t="shared" si="46"/>
        <v>0</v>
      </c>
      <c r="AI50" s="3">
        <f t="shared" si="46"/>
        <v>2</v>
      </c>
      <c r="AJ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ht="18.75" customHeight="1">
      <c r="A51" s="3" t="s">
        <v>39</v>
      </c>
      <c r="B51" s="3">
        <f t="shared" ref="B51:K51" si="47">IFERROR(MATCH(TRIM(B18),{"Low","Unclear","High"},0)-1,"")</f>
        <v>1</v>
      </c>
      <c r="C51" s="3">
        <f t="shared" si="47"/>
        <v>1</v>
      </c>
      <c r="D51" s="3">
        <f t="shared" si="47"/>
        <v>1</v>
      </c>
      <c r="E51" s="3">
        <f t="shared" si="47"/>
        <v>1</v>
      </c>
      <c r="F51" s="3">
        <f t="shared" si="47"/>
        <v>1</v>
      </c>
      <c r="G51" s="3">
        <f t="shared" si="47"/>
        <v>1</v>
      </c>
      <c r="H51" s="3">
        <f t="shared" si="47"/>
        <v>1</v>
      </c>
      <c r="I51" s="3">
        <f t="shared" si="47"/>
        <v>0</v>
      </c>
      <c r="J51" s="3">
        <f t="shared" si="47"/>
        <v>0</v>
      </c>
      <c r="K51" s="3">
        <f t="shared" si="47"/>
        <v>1</v>
      </c>
      <c r="L51" s="3"/>
      <c r="M51" s="12" t="s">
        <v>39</v>
      </c>
      <c r="N51" s="9">
        <f t="shared" ref="N51:W51" si="48">IFERROR(MATCH(TRIM(N18),{"Low","Unclear","High"},0)-1,"")</f>
        <v>1</v>
      </c>
      <c r="O51" s="9">
        <f t="shared" si="48"/>
        <v>1</v>
      </c>
      <c r="P51" s="9">
        <f t="shared" si="48"/>
        <v>1</v>
      </c>
      <c r="Q51" s="9">
        <f t="shared" si="48"/>
        <v>1</v>
      </c>
      <c r="R51" s="9">
        <f t="shared" si="48"/>
        <v>1</v>
      </c>
      <c r="S51" s="9">
        <f t="shared" si="48"/>
        <v>1</v>
      </c>
      <c r="T51" s="9">
        <f t="shared" si="48"/>
        <v>1</v>
      </c>
      <c r="U51" s="9">
        <f t="shared" si="48"/>
        <v>0</v>
      </c>
      <c r="V51" s="9">
        <f t="shared" si="48"/>
        <v>0</v>
      </c>
      <c r="W51" s="9">
        <f t="shared" si="48"/>
        <v>0</v>
      </c>
      <c r="X51" s="9"/>
      <c r="Y51" s="21" t="str">
        <f t="shared" si="6"/>
        <v>Tong, 2017</v>
      </c>
      <c r="Z51" s="3">
        <f t="shared" ref="Z51:AI51" si="49"> (MATCH(TRIM(B18),{"Low","Unclear","High"},0) - MATCH(TRIM(N18),{"Low","Unclear","High"},0))
</f>
        <v>0</v>
      </c>
      <c r="AA51" s="3">
        <f t="shared" si="49"/>
        <v>0</v>
      </c>
      <c r="AB51" s="3">
        <f t="shared" si="49"/>
        <v>0</v>
      </c>
      <c r="AC51" s="3">
        <f t="shared" si="49"/>
        <v>0</v>
      </c>
      <c r="AD51" s="3">
        <f t="shared" si="49"/>
        <v>0</v>
      </c>
      <c r="AE51" s="3">
        <f t="shared" si="49"/>
        <v>0</v>
      </c>
      <c r="AF51" s="3">
        <f t="shared" si="49"/>
        <v>0</v>
      </c>
      <c r="AG51" s="3">
        <f t="shared" si="49"/>
        <v>0</v>
      </c>
      <c r="AH51" s="3">
        <f t="shared" si="49"/>
        <v>0</v>
      </c>
      <c r="AI51" s="3">
        <f t="shared" si="49"/>
        <v>1</v>
      </c>
      <c r="AJ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ht="18.75" customHeight="1">
      <c r="A52" s="3" t="s">
        <v>40</v>
      </c>
      <c r="B52" s="3">
        <f t="shared" ref="B52:K52" si="50">IFERROR(MATCH(TRIM(B19),{"Low","Unclear","High"},0)-1,"")</f>
        <v>1</v>
      </c>
      <c r="C52" s="3">
        <f t="shared" si="50"/>
        <v>0</v>
      </c>
      <c r="D52" s="3">
        <f t="shared" si="50"/>
        <v>1</v>
      </c>
      <c r="E52" s="3">
        <f t="shared" si="50"/>
        <v>1</v>
      </c>
      <c r="F52" s="3">
        <f t="shared" si="50"/>
        <v>1</v>
      </c>
      <c r="G52" s="3">
        <f t="shared" si="50"/>
        <v>1</v>
      </c>
      <c r="H52" s="3">
        <f t="shared" si="50"/>
        <v>1</v>
      </c>
      <c r="I52" s="3">
        <f t="shared" si="50"/>
        <v>0</v>
      </c>
      <c r="J52" s="3">
        <f t="shared" si="50"/>
        <v>0</v>
      </c>
      <c r="K52" s="3">
        <f t="shared" si="50"/>
        <v>0</v>
      </c>
      <c r="L52" s="17"/>
      <c r="M52" s="12" t="s">
        <v>40</v>
      </c>
      <c r="N52" s="9">
        <f t="shared" ref="N52:W52" si="51">IFERROR(MATCH(TRIM(N19),{"Low","Unclear","High"},0)-1,"")</f>
        <v>1</v>
      </c>
      <c r="O52" s="9">
        <f t="shared" si="51"/>
        <v>1</v>
      </c>
      <c r="P52" s="9">
        <f t="shared" si="51"/>
        <v>1</v>
      </c>
      <c r="Q52" s="9">
        <f t="shared" si="51"/>
        <v>1</v>
      </c>
      <c r="R52" s="9">
        <f t="shared" si="51"/>
        <v>1</v>
      </c>
      <c r="S52" s="9">
        <f t="shared" si="51"/>
        <v>1</v>
      </c>
      <c r="T52" s="9">
        <f t="shared" si="51"/>
        <v>1</v>
      </c>
      <c r="U52" s="9">
        <f t="shared" si="51"/>
        <v>1</v>
      </c>
      <c r="V52" s="9">
        <f t="shared" si="51"/>
        <v>0</v>
      </c>
      <c r="W52" s="9">
        <f t="shared" si="51"/>
        <v>0</v>
      </c>
      <c r="X52" s="9"/>
      <c r="Y52" s="21" t="str">
        <f t="shared" si="6"/>
        <v>Wang, 2017</v>
      </c>
      <c r="Z52" s="3">
        <f t="shared" ref="Z52:AI52" si="52"> (MATCH(TRIM(B19),{"Low","Unclear","High"},0) - MATCH(TRIM(N19),{"Low","Unclear","High"},0))
</f>
        <v>0</v>
      </c>
      <c r="AA52" s="3">
        <f t="shared" si="52"/>
        <v>-1</v>
      </c>
      <c r="AB52" s="3">
        <f t="shared" si="52"/>
        <v>0</v>
      </c>
      <c r="AC52" s="3">
        <f t="shared" si="52"/>
        <v>0</v>
      </c>
      <c r="AD52" s="3">
        <f t="shared" si="52"/>
        <v>0</v>
      </c>
      <c r="AE52" s="3">
        <f t="shared" si="52"/>
        <v>0</v>
      </c>
      <c r="AF52" s="3">
        <f t="shared" si="52"/>
        <v>0</v>
      </c>
      <c r="AG52" s="3">
        <f t="shared" si="52"/>
        <v>-1</v>
      </c>
      <c r="AH52" s="3">
        <f t="shared" si="52"/>
        <v>0</v>
      </c>
      <c r="AI52" s="3">
        <f t="shared" si="52"/>
        <v>0</v>
      </c>
      <c r="AJ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ht="18.75" customHeight="1">
      <c r="A53" s="3" t="s">
        <v>41</v>
      </c>
      <c r="B53" s="3">
        <f t="shared" ref="B53:K53" si="53">IFERROR(MATCH(TRIM(B20),{"Low","Unclear","High"},0)-1,"")</f>
        <v>1</v>
      </c>
      <c r="C53" s="3">
        <f t="shared" si="53"/>
        <v>0</v>
      </c>
      <c r="D53" s="3">
        <f t="shared" si="53"/>
        <v>1</v>
      </c>
      <c r="E53" s="3">
        <f t="shared" si="53"/>
        <v>1</v>
      </c>
      <c r="F53" s="3">
        <f t="shared" si="53"/>
        <v>1</v>
      </c>
      <c r="G53" s="3">
        <f t="shared" si="53"/>
        <v>1</v>
      </c>
      <c r="H53" s="3">
        <f t="shared" si="53"/>
        <v>1</v>
      </c>
      <c r="I53" s="3">
        <f t="shared" si="53"/>
        <v>0</v>
      </c>
      <c r="J53" s="3">
        <f t="shared" si="53"/>
        <v>0</v>
      </c>
      <c r="K53" s="3">
        <f t="shared" si="53"/>
        <v>2</v>
      </c>
      <c r="L53" s="3"/>
      <c r="M53" s="12" t="s">
        <v>41</v>
      </c>
      <c r="N53" s="9">
        <f t="shared" ref="N53:W53" si="54">IFERROR(MATCH(TRIM(N20),{"Low","Unclear","High"},0)-1,"")</f>
        <v>1</v>
      </c>
      <c r="O53" s="9">
        <f t="shared" si="54"/>
        <v>1</v>
      </c>
      <c r="P53" s="9">
        <f t="shared" si="54"/>
        <v>1</v>
      </c>
      <c r="Q53" s="9">
        <f t="shared" si="54"/>
        <v>1</v>
      </c>
      <c r="R53" s="9">
        <f t="shared" si="54"/>
        <v>1</v>
      </c>
      <c r="S53" s="9">
        <f t="shared" si="54"/>
        <v>1</v>
      </c>
      <c r="T53" s="9">
        <f t="shared" si="54"/>
        <v>1</v>
      </c>
      <c r="U53" s="9">
        <f t="shared" si="54"/>
        <v>0</v>
      </c>
      <c r="V53" s="9">
        <f t="shared" si="54"/>
        <v>0</v>
      </c>
      <c r="W53" s="9">
        <f t="shared" si="54"/>
        <v>2</v>
      </c>
      <c r="X53" s="9"/>
      <c r="Y53" s="21" t="str">
        <f t="shared" si="6"/>
        <v>Xu, 2017</v>
      </c>
      <c r="Z53" s="3">
        <f t="shared" ref="Z53:AI53" si="55"> (MATCH(TRIM(B20),{"Low","Unclear","High"},0) - MATCH(TRIM(N20),{"Low","Unclear","High"},0))
</f>
        <v>0</v>
      </c>
      <c r="AA53" s="3">
        <f t="shared" si="55"/>
        <v>-1</v>
      </c>
      <c r="AB53" s="3">
        <f t="shared" si="55"/>
        <v>0</v>
      </c>
      <c r="AC53" s="3">
        <f t="shared" si="55"/>
        <v>0</v>
      </c>
      <c r="AD53" s="3">
        <f t="shared" si="55"/>
        <v>0</v>
      </c>
      <c r="AE53" s="3">
        <f t="shared" si="55"/>
        <v>0</v>
      </c>
      <c r="AF53" s="3">
        <f t="shared" si="55"/>
        <v>0</v>
      </c>
      <c r="AG53" s="3">
        <f t="shared" si="55"/>
        <v>0</v>
      </c>
      <c r="AH53" s="3">
        <f t="shared" si="55"/>
        <v>0</v>
      </c>
      <c r="AI53" s="3">
        <f t="shared" si="55"/>
        <v>0</v>
      </c>
      <c r="AJ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ht="18.75" customHeight="1">
      <c r="A54" s="3" t="s">
        <v>42</v>
      </c>
      <c r="B54" s="3">
        <f t="shared" ref="B54:K54" si="56">IFERROR(MATCH(TRIM(B21),{"Low","Unclear","High"},0)-1,"")</f>
        <v>1</v>
      </c>
      <c r="C54" s="3">
        <f t="shared" si="56"/>
        <v>1</v>
      </c>
      <c r="D54" s="3">
        <f t="shared" si="56"/>
        <v>1</v>
      </c>
      <c r="E54" s="3">
        <f t="shared" si="56"/>
        <v>1</v>
      </c>
      <c r="F54" s="3">
        <f t="shared" si="56"/>
        <v>1</v>
      </c>
      <c r="G54" s="3">
        <f t="shared" si="56"/>
        <v>1</v>
      </c>
      <c r="H54" s="3">
        <f t="shared" si="56"/>
        <v>1</v>
      </c>
      <c r="I54" s="3">
        <f t="shared" si="56"/>
        <v>0</v>
      </c>
      <c r="J54" s="3">
        <f t="shared" si="56"/>
        <v>1</v>
      </c>
      <c r="K54" s="3">
        <f t="shared" si="56"/>
        <v>0</v>
      </c>
      <c r="L54" s="3"/>
      <c r="M54" s="12" t="s">
        <v>42</v>
      </c>
      <c r="N54" s="9">
        <f t="shared" ref="N54:W54" si="57">IFERROR(MATCH(TRIM(N21),{"Low","Unclear","High"},0)-1,"")</f>
        <v>1</v>
      </c>
      <c r="O54" s="9">
        <f t="shared" si="57"/>
        <v>1</v>
      </c>
      <c r="P54" s="9">
        <f t="shared" si="57"/>
        <v>1</v>
      </c>
      <c r="Q54" s="9">
        <f t="shared" si="57"/>
        <v>1</v>
      </c>
      <c r="R54" s="9">
        <f t="shared" si="57"/>
        <v>1</v>
      </c>
      <c r="S54" s="9">
        <f t="shared" si="57"/>
        <v>1</v>
      </c>
      <c r="T54" s="9">
        <f t="shared" si="57"/>
        <v>1</v>
      </c>
      <c r="U54" s="9">
        <f t="shared" si="57"/>
        <v>0</v>
      </c>
      <c r="V54" s="9">
        <f t="shared" si="57"/>
        <v>0</v>
      </c>
      <c r="W54" s="9">
        <f t="shared" si="57"/>
        <v>0</v>
      </c>
      <c r="X54" s="9"/>
      <c r="Y54" s="21" t="str">
        <f t="shared" si="6"/>
        <v>Zheng, 2014</v>
      </c>
      <c r="Z54" s="3">
        <f t="shared" ref="Z54:AI54" si="58"> (MATCH(TRIM(B21),{"Low","Unclear","High"},0) - MATCH(TRIM(N21),{"Low","Unclear","High"},0))
</f>
        <v>0</v>
      </c>
      <c r="AA54" s="3">
        <f t="shared" si="58"/>
        <v>0</v>
      </c>
      <c r="AB54" s="3">
        <f t="shared" si="58"/>
        <v>0</v>
      </c>
      <c r="AC54" s="3">
        <f t="shared" si="58"/>
        <v>0</v>
      </c>
      <c r="AD54" s="3">
        <f t="shared" si="58"/>
        <v>0</v>
      </c>
      <c r="AE54" s="3">
        <f t="shared" si="58"/>
        <v>0</v>
      </c>
      <c r="AF54" s="3">
        <f t="shared" si="58"/>
        <v>0</v>
      </c>
      <c r="AG54" s="3">
        <f t="shared" si="58"/>
        <v>0</v>
      </c>
      <c r="AH54" s="3">
        <f t="shared" si="58"/>
        <v>1</v>
      </c>
      <c r="AI54" s="3">
        <f t="shared" si="58"/>
        <v>0</v>
      </c>
      <c r="AJ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ht="18.75" customHeight="1">
      <c r="A55" s="3" t="s">
        <v>43</v>
      </c>
      <c r="B55" s="3">
        <f t="shared" ref="B55:K55" si="59">IFERROR(MATCH(TRIM(B22),{"Low","Unclear","High"},0)-1,"")</f>
        <v>1</v>
      </c>
      <c r="C55" s="3">
        <f t="shared" si="59"/>
        <v>0</v>
      </c>
      <c r="D55" s="3">
        <f t="shared" si="59"/>
        <v>1</v>
      </c>
      <c r="E55" s="3">
        <f t="shared" si="59"/>
        <v>1</v>
      </c>
      <c r="F55" s="3">
        <f t="shared" si="59"/>
        <v>2</v>
      </c>
      <c r="G55" s="3">
        <f t="shared" si="59"/>
        <v>1</v>
      </c>
      <c r="H55" s="3">
        <f t="shared" si="59"/>
        <v>1</v>
      </c>
      <c r="I55" s="3">
        <f t="shared" si="59"/>
        <v>1</v>
      </c>
      <c r="J55" s="3">
        <f t="shared" si="59"/>
        <v>2</v>
      </c>
      <c r="K55" s="3">
        <f t="shared" si="59"/>
        <v>2</v>
      </c>
      <c r="L55" s="3"/>
      <c r="M55" s="12" t="s">
        <v>43</v>
      </c>
      <c r="N55" s="9">
        <f t="shared" ref="N55:W55" si="60">IFERROR(MATCH(TRIM(N22),{"Low","Unclear","High"},0)-1,"")</f>
        <v>1</v>
      </c>
      <c r="O55" s="9">
        <f t="shared" si="60"/>
        <v>1</v>
      </c>
      <c r="P55" s="9">
        <f t="shared" si="60"/>
        <v>1</v>
      </c>
      <c r="Q55" s="9">
        <f t="shared" si="60"/>
        <v>1</v>
      </c>
      <c r="R55" s="9">
        <f t="shared" si="60"/>
        <v>1</v>
      </c>
      <c r="S55" s="9">
        <f t="shared" si="60"/>
        <v>1</v>
      </c>
      <c r="T55" s="9">
        <f t="shared" si="60"/>
        <v>1</v>
      </c>
      <c r="U55" s="9">
        <f t="shared" si="60"/>
        <v>1</v>
      </c>
      <c r="V55" s="9">
        <f t="shared" si="60"/>
        <v>0</v>
      </c>
      <c r="W55" s="9">
        <f t="shared" si="60"/>
        <v>0</v>
      </c>
      <c r="X55" s="9"/>
      <c r="Y55" s="21" t="str">
        <f t="shared" si="6"/>
        <v>Zheng, 2015</v>
      </c>
      <c r="Z55" s="3">
        <f t="shared" ref="Z55:AI55" si="61"> (MATCH(TRIM(B22),{"Low","Unclear","High"},0) - MATCH(TRIM(N22),{"Low","Unclear","High"},0))
</f>
        <v>0</v>
      </c>
      <c r="AA55" s="3">
        <f t="shared" si="61"/>
        <v>-1</v>
      </c>
      <c r="AB55" s="3">
        <f t="shared" si="61"/>
        <v>0</v>
      </c>
      <c r="AC55" s="3">
        <f t="shared" si="61"/>
        <v>0</v>
      </c>
      <c r="AD55" s="3">
        <f t="shared" si="61"/>
        <v>1</v>
      </c>
      <c r="AE55" s="3">
        <f t="shared" si="61"/>
        <v>0</v>
      </c>
      <c r="AF55" s="3">
        <f t="shared" si="61"/>
        <v>0</v>
      </c>
      <c r="AG55" s="3">
        <f t="shared" si="61"/>
        <v>0</v>
      </c>
      <c r="AH55" s="3">
        <f t="shared" si="61"/>
        <v>2</v>
      </c>
      <c r="AI55" s="3">
        <f t="shared" si="61"/>
        <v>2</v>
      </c>
      <c r="AJ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</sheetData>
  <mergeCells count="6">
    <mergeCell ref="A1:K1"/>
    <mergeCell ref="M1:W1"/>
    <mergeCell ref="A34:K34"/>
    <mergeCell ref="M34:W34"/>
    <mergeCell ref="Y34:AI34"/>
    <mergeCell ref="AK34:AU34"/>
  </mergeCells>
  <conditionalFormatting sqref="Z36:AI55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hyperlinks>
    <hyperlink r:id="rId1" location="ref-CR27" ref="M24"/>
    <hyperlink r:id="rId2" location="ref-CR41" ref="M25"/>
  </hyperlinks>
  <drawing r:id="rId3"/>
</worksheet>
</file>